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Pack voltage</t>
        </is>
      </c>
      <c r="B21" s="3" t="inlineStr">
        <is>
          <t>V_DC</t>
        </is>
      </c>
      <c r="C21" s="3" t="inlineStr">
        <is>
          <t>drivetrain.pack_voltage</t>
        </is>
      </c>
      <c r="D21" s="3" t="inlineStr">
        <is>
          <t>Accumulator (HV pack) nominal voltage.</t>
        </is>
      </c>
      <c r="E21" s="5" t="inlineStr">
        <is>
          <t>380</t>
        </is>
      </c>
      <c r="F21" s="3" t="inlineStr">
        <is>
          <t>V</t>
        </is>
      </c>
      <c r="G21" s="6" t="inlineStr">
        <is>
          <t>CURRENT CAR (design decision 2026-08-30)</t>
        </is>
      </c>
      <c r="H21" s="3" t="inlineStr">
        <is>
          <t>Nothing (design value)</t>
        </is>
      </c>
      <c r="I21" s="3" t="inlineStr">
        <is>
          <t>Accumulator design</t>
        </is>
      </c>
      <c r="J21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2">
      <c r="A22" s="3" t="inlineStr">
        <is>
          <t>Motor peak power</t>
        </is>
      </c>
      <c r="B22" s="3" t="inlineStr">
        <is>
          <t>P_pk</t>
        </is>
      </c>
      <c r="C22" s="3" t="inlineStr">
        <is>
          <t>drivetrain.motor_power_peak</t>
        </is>
      </c>
      <c r="D22" s="3" t="inlineStr">
        <is>
          <t>Peak mechanical power of ONE motor at OUR pack voltage.</t>
        </is>
      </c>
      <c r="E22" s="4" t="inlineStr">
        <is>
          <t>20,000</t>
        </is>
      </c>
      <c r="F22" s="3" t="inlineStr">
        <is>
          <t>W</t>
        </is>
      </c>
      <c r="G22" s="3" t="inlineStr">
        <is>
          <t>DERIVED (kit curves scaled to 380 V)</t>
        </is>
      </c>
      <c r="H22" s="3" t="inlineStr">
        <is>
          <t>Actual peak power at 380 V</t>
        </is>
      </c>
      <c r="I22" s="3" t="inlineStr">
        <is>
          <t>Read the 380 V curve in the AMK manual; dyno pull once the pack exists</t>
        </is>
      </c>
      <c r="J22" s="3" t="inlineStr">
        <is>
          <t>Caps torque above ~17 m/s (37 mph): at 40 mph only 256 of 273 N*m is available. The 2-rear build tops out around 40 kW.</t>
        </is>
      </c>
    </row>
    <row r="23">
      <c r="A23" s="3" t="inlineStr">
        <is>
          <t>Motor max speed</t>
        </is>
      </c>
      <c r="B23" s="3" t="inlineStr">
        <is>
          <t>n_max</t>
        </is>
      </c>
      <c r="C23" s="3" t="inlineStr">
        <is>
          <t>drivetrain.motor_max_speed</t>
        </is>
      </c>
      <c r="D23" s="3" t="inlineStr">
        <is>
          <t>Maximum motor shaft speed.</t>
        </is>
      </c>
      <c r="E23" s="5" t="inlineStr">
        <is>
          <t>2,094</t>
        </is>
      </c>
      <c r="F23" s="3" t="inlineStr">
        <is>
          <t>rad/s (entered as 20,000 rpm)</t>
        </is>
      </c>
      <c r="G23" s="6" t="inlineStr">
        <is>
          <t>CURRENT CAR (AMK kit datasheet)</t>
        </is>
      </c>
      <c r="H23" s="3" t="inlineStr">
        <is>
          <t>Nothing (datasheet value)</t>
        </is>
      </c>
      <c r="I23" s="3" t="inlineStr">
        <is>
          <t>AMK kit manual 6.5.3 (characteristics end at 20,000 rpm)</t>
        </is>
      </c>
      <c r="J23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4">
      <c r="A24" s="3" t="inlineStr">
        <is>
          <t>Wheel spin inertia</t>
        </is>
      </c>
      <c r="B24" s="3" t="inlineStr">
        <is>
          <t>I_w</t>
        </is>
      </c>
      <c r="C24" s="3" t="inlineStr">
        <is>
          <t>drivetrain.I_wheel</t>
        </is>
      </c>
      <c r="D24" s="3" t="inlineStr">
        <is>
          <t>Spin inertia of ONE rear corner about the axle: tire + rim + brake rotor + hub + (motor rotor inertia * gear_ratio^2).</t>
        </is>
      </c>
      <c r="E24" s="4" t="inlineStr">
        <is>
          <t>0.35</t>
        </is>
      </c>
      <c r="F24" s="3" t="inlineStr">
        <is>
          <t>kg*m^2</t>
        </is>
      </c>
      <c r="G24" s="3" t="inlineStr">
        <is>
          <t>DERIVED estimate — replace with CAD</t>
        </is>
      </c>
      <c r="H24" s="3" t="inlineStr">
        <is>
          <t>Rotating inertia of one corner</t>
        </is>
      </c>
      <c r="I24" s="3" t="inlineStr">
        <is>
          <t>CAD mass properties + rotor J from the exact AMK motor sheet</t>
        </is>
      </c>
      <c r="J24" s="3" t="inlineStr">
        <is>
          <t>Sets how fast an unloaded wheel spins up — the s-diff's whole problem. Controller gains are sensitive to it: retune when it changes.</t>
        </is>
      </c>
    </row>
    <row r="25">
      <c r="A25" s="3" t="inlineStr">
        <is>
          <t>Total power cap</t>
        </is>
      </c>
      <c r="B25" s="3" t="inlineStr">
        <is>
          <t>P_max</t>
        </is>
      </c>
      <c r="C25" s="3" t="inlineStr">
        <is>
          <t>drivetrain.power_cap_total</t>
        </is>
      </c>
      <c r="D25" s="3" t="inlineStr">
        <is>
          <t>FSAE EV rules limit on total drive power (EV.4.2, 80 kW at the accumulator).</t>
        </is>
      </c>
      <c r="E25" s="4" t="inlineStr">
        <is>
          <t>80,000</t>
        </is>
      </c>
      <c r="F25" s="3" t="inlineStr">
        <is>
          <t>W</t>
        </is>
      </c>
      <c r="G25" s="3" t="inlineStr">
        <is>
          <t>RULES VALUE (simplified)</t>
        </is>
      </c>
      <c r="H25" s="3" t="inlineStr">
        <is>
          <t>Nothing (rulebook)</t>
        </is>
      </c>
      <c r="I25" s="3" t="inlineStr">
        <is>
          <t>Confirm in the current-year rulebook</t>
        </is>
      </c>
      <c r="J25" s="3" t="inlineStr">
        <is>
          <t>Hard ceiling. The sim applies it to mechanical power (no drivetrain losses modeled) — the real car hits it ~10-15% earlier.</t>
        </is>
      </c>
    </row>
    <row r="26">
      <c r="A26" s="3" t="inlineStr">
        <is>
          <t>Regen speed cutoff</t>
        </is>
      </c>
      <c r="B26" s="3" t="inlineStr">
        <is>
          <t>-</t>
        </is>
      </c>
      <c r="C26" s="3" t="inlineStr">
        <is>
          <t>drivetrain.regen_speed_cutoff</t>
        </is>
      </c>
      <c r="D26" s="3" t="inlineStr">
        <is>
          <t>Below this speed no negative (regen) torque is commanded.</t>
        </is>
      </c>
      <c r="E26" s="4" t="inlineStr">
        <is>
          <t>1.4</t>
        </is>
      </c>
      <c r="F26" s="3" t="inlineStr">
        <is>
          <t>m/s (~5 km/h)</t>
        </is>
      </c>
      <c r="G26" s="3" t="inlineStr">
        <is>
          <t>RULES VALUE (approx.)</t>
        </is>
      </c>
      <c r="H26" s="3" t="inlineStr">
        <is>
          <t>Nothing (rulebook)</t>
        </is>
      </c>
      <c r="I26" s="3" t="inlineStr">
        <is>
          <t>Confirm in the current-year rulebook</t>
        </is>
      </c>
      <c r="J26" s="3" t="inlineStr">
        <is>
          <t>Rules restrict regen near standstill; also keeps the sim's low-speed slip math out of its untrustworthy zone.</t>
        </is>
      </c>
    </row>
    <row r="27">
      <c r="A27" s="2" t="inlineStr">
        <is>
          <t>AERO</t>
        </is>
      </c>
    </row>
    <row r="28">
      <c r="A28" s="3" t="inlineStr">
        <is>
          <t>Lift coefficient</t>
        </is>
      </c>
      <c r="B28" s="3" t="inlineStr">
        <is>
          <t>C_L</t>
        </is>
      </c>
      <c r="C28" s="3" t="inlineStr">
        <is>
          <t>aero.cl_coeff</t>
        </is>
      </c>
      <c r="D28" s="3" t="inlineStr">
        <is>
          <t>Lift (downforce) coefficient, referenced to frontal_area.</t>
        </is>
      </c>
      <c r="E28" s="4" t="inlineStr">
        <is>
          <t>3.18</t>
        </is>
      </c>
      <c r="F28" s="3" t="inlineStr">
        <is>
          <t>-</t>
        </is>
      </c>
      <c r="G28" s="3" t="inlineStr">
        <is>
          <t>FROM REPORT (old car's aero)</t>
        </is>
      </c>
      <c r="H28" s="3" t="inlineStr">
        <is>
          <t>Current car's downforce coefficient</t>
        </is>
      </c>
      <c r="I28" s="3" t="inlineStr">
        <is>
          <t>CFD, then straight-line coast-down / load-cell validation</t>
        </is>
      </c>
      <c r="J28" s="3" t="inlineStr">
        <is>
          <t>Downforce = 0.5*rho*C_L*A*v^2 — free grip that grows with speed^2.</t>
        </is>
      </c>
    </row>
    <row r="29">
      <c r="A29" s="3" t="inlineStr">
        <is>
          <t>Drag coefficient</t>
        </is>
      </c>
      <c r="B29" s="3" t="inlineStr">
        <is>
          <t>C_D</t>
        </is>
      </c>
      <c r="C29" s="3" t="inlineStr">
        <is>
          <t>aero.cd_coeff</t>
        </is>
      </c>
      <c r="D29" s="3" t="inlineStr">
        <is>
          <t>Drag coefficient, same reference area.</t>
        </is>
      </c>
      <c r="E29" s="4" t="inlineStr">
        <is>
          <t>1.36</t>
        </is>
      </c>
      <c r="F29" s="3" t="inlineStr">
        <is>
          <t>-</t>
        </is>
      </c>
      <c r="G29" s="3" t="inlineStr">
        <is>
          <t>FROM REPORT (old car's aero)</t>
        </is>
      </c>
      <c r="H29" s="3" t="inlineStr">
        <is>
          <t>Current car's drag coefficient</t>
        </is>
      </c>
      <c r="I29" s="3" t="inlineStr">
        <is>
          <t>CFD + coast-down test</t>
        </is>
      </c>
      <c r="J29" s="3" t="inlineStr">
        <is>
          <t>Sets top-speed force budget and the torque needed to hold speed in every maneuver.</t>
        </is>
      </c>
    </row>
    <row r="30">
      <c r="A30" s="3" t="inlineStr">
        <is>
          <t>Frontal area</t>
        </is>
      </c>
      <c r="B30" s="3" t="inlineStr">
        <is>
          <t>A_F</t>
        </is>
      </c>
      <c r="C30" s="3" t="inlineStr">
        <is>
          <t>aero.frontal_area</t>
        </is>
      </c>
      <c r="D30" s="3" t="inlineStr">
        <is>
          <t>Aerodynamic frontal reference area.</t>
        </is>
      </c>
      <c r="E30" s="4" t="inlineStr">
        <is>
          <t>1.106</t>
        </is>
      </c>
      <c r="F30" s="3" t="inlineStr">
        <is>
          <t>m^2</t>
        </is>
      </c>
      <c r="G30" s="3" t="inlineStr">
        <is>
          <t>FROM REPORT</t>
        </is>
      </c>
      <c r="H30" s="3" t="inlineStr">
        <is>
          <t>Projected frontal area</t>
        </is>
      </c>
      <c r="I30" s="3" t="inlineStr">
        <is>
          <t>CAD projection</t>
        </is>
      </c>
      <c r="J30" s="3" t="inlineStr">
        <is>
          <t>Only the products C*A enter the physics — keep coefficient and area consistent.</t>
        </is>
      </c>
    </row>
    <row r="31">
      <c r="A31" s="3" t="inlineStr">
        <is>
          <t>ClA (computed)</t>
        </is>
      </c>
      <c r="B31" s="3" t="inlineStr">
        <is>
          <t>C_L*A</t>
        </is>
      </c>
      <c r="C31" s="3" t="inlineStr">
        <is>
          <t>aero.ClA</t>
        </is>
      </c>
      <c r="D31" s="3" t="inlineStr">
        <is>
          <t>The downforce product the sim actually uses.</t>
        </is>
      </c>
      <c r="E31" s="4" t="inlineStr">
        <is>
          <t>3.517</t>
        </is>
      </c>
      <c r="F31" s="3" t="inlineStr">
        <is>
          <t>m^2</t>
        </is>
      </c>
      <c r="G31" s="3" t="inlineStr">
        <is>
          <t>DERIVED</t>
        </is>
      </c>
      <c r="H31" s="3" t="inlineStr">
        <is>
          <t>-</t>
        </is>
      </c>
      <c r="I31" s="3">
        <f> aero.cl_coeff * aero.frontal_area</f>
        <v/>
      </c>
      <c r="J31" s="3" t="inlineStr">
        <is>
          <t>-</t>
        </is>
      </c>
    </row>
    <row r="32">
      <c r="A32" s="3" t="inlineStr">
        <is>
          <t>CdA (computed)</t>
        </is>
      </c>
      <c r="B32" s="3" t="inlineStr">
        <is>
          <t>C_D*A</t>
        </is>
      </c>
      <c r="C32" s="3" t="inlineStr">
        <is>
          <t>aero.CdA</t>
        </is>
      </c>
      <c r="D32" s="3" t="inlineStr">
        <is>
          <t>The drag product the sim actually uses.</t>
        </is>
      </c>
      <c r="E32" s="4" t="inlineStr">
        <is>
          <t>1.504</t>
        </is>
      </c>
      <c r="F32" s="3" t="inlineStr">
        <is>
          <t>m^2</t>
        </is>
      </c>
      <c r="G32" s="3" t="inlineStr">
        <is>
          <t>DERIVED</t>
        </is>
      </c>
      <c r="H32" s="3" t="inlineStr">
        <is>
          <t>-</t>
        </is>
      </c>
      <c r="I32" s="3">
        <f> aero.cd_coeff * aero.frontal_area</f>
        <v/>
      </c>
      <c r="J32" s="3" t="inlineStr">
        <is>
          <t>-</t>
        </is>
      </c>
    </row>
    <row r="33">
      <c r="A33" s="3" t="inlineStr">
        <is>
          <t>Aero balance</t>
        </is>
      </c>
      <c r="B33" s="3" t="inlineStr">
        <is>
          <t>pct_aero_f</t>
        </is>
      </c>
      <c r="C33" s="3" t="inlineStr">
        <is>
          <t>aero.balance_front</t>
        </is>
      </c>
      <c r="D33" s="3" t="inlineStr">
        <is>
          <t>Fraction of total downforce landing on the FRONT axle (0.45 = 45/55).</t>
        </is>
      </c>
      <c r="E33" s="4" t="inlineStr">
        <is>
          <t>0.45</t>
        </is>
      </c>
      <c r="F33" s="3" t="inlineStr">
        <is>
          <t>0-1</t>
        </is>
      </c>
      <c r="G33" s="7" t="inlineStr">
        <is>
          <t>PLACEHOLDER — pure guess</t>
        </is>
      </c>
      <c r="H33" s="3" t="inlineStr">
        <is>
          <t>Center-of-pressure position</t>
        </is>
      </c>
      <c r="I33" s="3" t="inlineStr">
        <is>
          <t>CFD (aero team) — ask for CP height too</t>
        </is>
      </c>
      <c r="J33" s="3" t="inlineStr">
        <is>
          <t>Moves grip between axles as speed rises — shapes high-speed balance directly. One of the last pure guesses outside tires.</t>
        </is>
      </c>
    </row>
    <row r="34">
      <c r="A34" s="2" t="inlineStr">
        <is>
          <t>STEERING GEOMETRY</t>
        </is>
      </c>
    </row>
    <row r="35">
      <c r="A35" s="3" t="inlineStr">
        <is>
          <t>Ackermann fraction</t>
        </is>
      </c>
      <c r="B35" s="3" t="inlineStr">
        <is>
          <t>pct_A</t>
        </is>
      </c>
      <c r="C35" s="3" t="inlineStr">
        <is>
          <t>steering.ackermann_fraction</t>
        </is>
      </c>
      <c r="D35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5" s="4" t="inlineStr">
        <is>
          <t>0</t>
        </is>
      </c>
      <c r="F35" s="3" t="inlineStr">
        <is>
          <t>-</t>
        </is>
      </c>
      <c r="G35" s="7" t="inlineStr">
        <is>
          <t>PLACEHOLDER (parallel) — RWheel curve needed</t>
        </is>
      </c>
      <c r="H35" s="3" t="inlineStr">
        <is>
          <t>The steering curve: both wheels' angles vs handwheel angle</t>
        </is>
      </c>
      <c r="I35" s="3" t="inlineStr">
        <is>
          <t>From the steering chart: the LWheel curve is on file, need the RWheel polynomial from the same chart (or a few x, LWheel, RWheel point triples).</t>
        </is>
      </c>
      <c r="J35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6">
      <c r="A36" s="2" t="inlineStr">
        <is>
          <t>LOAD TRANSFER</t>
        </is>
      </c>
    </row>
    <row r="37">
      <c r="A37" s="3" t="inlineStr">
        <is>
          <t>Front spring rate</t>
        </is>
      </c>
      <c r="B37" s="3" t="inlineStr">
        <is>
          <t>ks_f</t>
        </is>
      </c>
      <c r="C37" s="3" t="inlineStr">
        <is>
          <t>loads.spring_rate_front</t>
        </is>
      </c>
      <c r="D37" s="3" t="inlineStr">
        <is>
          <t>Front suspension spring rate. Used ONLY through its ratio to the rear.</t>
        </is>
      </c>
      <c r="E37" s="4" t="inlineStr">
        <is>
          <t>19.3</t>
        </is>
      </c>
      <c r="F37" s="3" t="inlineStr">
        <is>
          <t>N/mm (ratio only)</t>
        </is>
      </c>
      <c r="G37" s="3" t="inlineStr">
        <is>
          <t>FROM REPORT</t>
        </is>
      </c>
      <c r="H37" s="3" t="inlineStr">
        <is>
          <t>Front roll stiffness incl. ARBs and motion ratios</t>
        </is>
      </c>
      <c r="I37" s="3" t="inlineStr">
        <is>
          <t>Suspension team</t>
        </is>
      </c>
      <c r="J37" s="3" t="inlineStr">
        <is>
          <t>Numerator of the lateral load-transfer split.</t>
        </is>
      </c>
    </row>
    <row r="38">
      <c r="A38" s="3" t="inlineStr">
        <is>
          <t>Rear spring rate</t>
        </is>
      </c>
      <c r="B38" s="3" t="inlineStr">
        <is>
          <t>ks_r</t>
        </is>
      </c>
      <c r="C38" s="3" t="inlineStr">
        <is>
          <t>loads.spring_rate_rear</t>
        </is>
      </c>
      <c r="D38" s="3" t="inlineStr">
        <is>
          <t>Rear suspension spring rate. Used ONLY through its ratio to the front.</t>
        </is>
      </c>
      <c r="E38" s="4" t="inlineStr">
        <is>
          <t>24.8</t>
        </is>
      </c>
      <c r="F38" s="3" t="inlineStr">
        <is>
          <t>N/mm (ratio only)</t>
        </is>
      </c>
      <c r="G38" s="3" t="inlineStr">
        <is>
          <t>FROM REPORT</t>
        </is>
      </c>
      <c r="H38" s="3" t="inlineStr">
        <is>
          <t>Rear roll stiffness incl. ARBs and motion ratios</t>
        </is>
      </c>
      <c r="I38" s="3" t="inlineStr">
        <is>
          <t>Suspension team</t>
        </is>
      </c>
      <c r="J38" s="3" t="inlineStr">
        <is>
          <t>Denominator half of the lateral load-transfer split.</t>
        </is>
      </c>
    </row>
    <row r="39">
      <c r="A39" s="3" t="inlineStr">
        <is>
          <t>Front lateral-transfer fraction</t>
        </is>
      </c>
      <c r="B39" s="3" t="inlineStr">
        <is>
          <t>-</t>
        </is>
      </c>
      <c r="C39" s="3" t="inlineStr">
        <is>
          <t>loads.lat_transfer_frac_front</t>
        </is>
      </c>
      <c r="D39" s="3" t="inlineStr">
        <is>
          <t>Share of total LATERAL load transfer reacted by the FRONT axle, set by the front/rear roll-stiffness split.</t>
        </is>
      </c>
      <c r="E39" s="4" t="inlineStr">
        <is>
          <t>0.4376</t>
        </is>
      </c>
      <c r="F39" s="3" t="inlineStr">
        <is>
          <t>0-1</t>
        </is>
      </c>
      <c r="G39" s="3" t="inlineStr">
        <is>
          <t>FROM REPORT (spring-rate ratio only) — crude</t>
        </is>
      </c>
      <c r="H39" s="3" t="inlineStr">
        <is>
          <t>Front vs rear roll stiffness</t>
        </is>
      </c>
      <c r="I39" s="3">
        <f> loads.spring_rate_front / (loads.spring_rate_front + loads.spring_rate_rear)</f>
        <v/>
      </c>
      <c r="J39" s="3" t="inlineStr">
        <is>
          <t>Which axle eats the load transfer = which axle loses grip first — trades understeer/oversteer at the limit.</t>
        </is>
      </c>
    </row>
    <row r="40">
      <c r="A40" s="2" t="inlineStr">
        <is>
          <t>TIRES — TTC ROUND 9 FIT (R20 compound, 2026-08-31); surrogate sizes, road µ = belt × 0.67 pending skidpad</t>
        </is>
      </c>
    </row>
    <row r="41">
      <c r="A41" s="3" t="inlineStr">
        <is>
          <t>Belt→road grip scale</t>
        </is>
      </c>
      <c r="B41" s="3" t="inlineStr">
        <is>
          <t>-</t>
        </is>
      </c>
      <c r="C41" s="3" t="inlineStr">
        <is>
          <t>tires.mu_road_scale</t>
        </is>
      </c>
      <c r="D41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1" s="4" t="inlineStr">
        <is>
          <t>0.67</t>
        </is>
      </c>
      <c r="F41" s="3" t="inlineStr">
        <is>
          <t>-</t>
        </is>
      </c>
      <c r="G41" s="7" t="inlineStr">
        <is>
          <t>PLACEHOLDER — skidpad measures this</t>
        </is>
      </c>
      <c r="H41" s="3" t="inlineStr">
        <is>
          <t>Steady-state skidpad lateral g</t>
        </is>
      </c>
      <c r="I41" s="3" t="inlineStr">
        <is>
          <t>Skidpad test vs sim prediction</t>
        </is>
      </c>
      <c r="J41" s="3" t="inlineStr">
        <is>
          <t>Multiplies EVERY grip number — the single biggest absolute-accuracy lever left. VALIDATE on skidpad; that measurement replaces this guess with truth.</t>
        </is>
      </c>
    </row>
    <row r="42">
      <c r="A42" s="3" t="inlineStr">
        <is>
          <t>Belt peak µ, lateral</t>
        </is>
      </c>
      <c r="B42" s="3" t="inlineStr">
        <is>
          <t>mu_belt_y</t>
        </is>
      </c>
      <c r="C42" s="3" t="inlineStr">
        <is>
          <t>tires.belt_mu_lat</t>
        </is>
      </c>
      <c r="D42" s="3" t="inlineStr">
        <is>
          <t>Peak LATERAL friction coefficient as fitted on the Calspan belt.</t>
        </is>
      </c>
      <c r="E42" s="5" t="inlineStr">
        <is>
          <t>2.593</t>
        </is>
      </c>
      <c r="F42" s="3" t="inlineStr">
        <is>
          <t>-</t>
        </is>
      </c>
      <c r="G42" s="6" t="inlineStr">
        <is>
          <t>TTC FIT R9</t>
        </is>
      </c>
      <c r="H42" s="3" t="inlineStr">
        <is>
          <t>-</t>
        </is>
      </c>
      <c r="I42" s="3" t="inlineStr">
        <is>
          <t>tire_fit.py on Round 9 cornering runs (surrogate spread +/-6%)</t>
        </is>
      </c>
      <c r="J42" s="3" t="inlineStr">
        <is>
          <t>Scaled by mu_road_scale to give the road value the sim uses.</t>
        </is>
      </c>
    </row>
    <row r="43">
      <c r="A43" s="3" t="inlineStr">
        <is>
          <t>Belt peak µ, longitudinal</t>
        </is>
      </c>
      <c r="B43" s="3" t="inlineStr">
        <is>
          <t>mu_belt_x</t>
        </is>
      </c>
      <c r="C43" s="3" t="inlineStr">
        <is>
          <t>tires.belt_mu_long</t>
        </is>
      </c>
      <c r="D43" s="3" t="inlineStr">
        <is>
          <t>Peak LONGITUDINAL friction coefficient as fitted on the belt.</t>
        </is>
      </c>
      <c r="E43" s="5" t="inlineStr">
        <is>
          <t>2.359</t>
        </is>
      </c>
      <c r="F43" s="3" t="inlineStr">
        <is>
          <t>-</t>
        </is>
      </c>
      <c r="G43" s="6" t="inlineStr">
        <is>
          <t>TTC FIT R9</t>
        </is>
      </c>
      <c r="H43" s="3" t="inlineStr">
        <is>
          <t>-</t>
        </is>
      </c>
      <c r="I43" s="3" t="inlineStr">
        <is>
          <t>tire_fit.py on Round 9 drive/brake runs</t>
        </is>
      </c>
      <c r="J43" s="3" t="inlineStr">
        <is>
          <t>Scaled by mu_road_scale to give the road value the sim uses.</t>
        </is>
      </c>
    </row>
    <row r="44">
      <c r="A44" s="3" t="inlineStr">
        <is>
          <t>Peak friction coefficient</t>
        </is>
      </c>
      <c r="B44" s="3" t="inlineStr">
        <is>
          <t>mu0</t>
        </is>
      </c>
      <c r="C44" s="3" t="inlineStr">
        <is>
          <t>tires.mu0</t>
        </is>
      </c>
      <c r="D44" s="3" t="inlineStr">
        <is>
          <t>Peak grip per newton of load, at the nominal load (road value).</t>
        </is>
      </c>
      <c r="E44" s="5" t="inlineStr">
        <is>
          <t>1.737</t>
        </is>
      </c>
      <c r="F44" s="3" t="inlineStr">
        <is>
          <t>-</t>
        </is>
      </c>
      <c r="G44" s="6" t="inlineStr">
        <is>
          <t>TTC FIT R9</t>
        </is>
      </c>
      <c r="H44" s="3" t="inlineStr">
        <is>
          <t>Peak mu at several loads</t>
        </is>
      </c>
      <c r="I44" s="3">
        <f> tires.mu_road_scale * tires.belt_mu_lat</f>
        <v/>
      </c>
      <c r="J44" s="3" t="inlineStr">
        <is>
          <t>THE grip number. Max lateral g, spin thresholds, everything — the single most important number in the sim.</t>
        </is>
      </c>
    </row>
    <row r="45">
      <c r="A45" s="3" t="inlineStr">
        <is>
          <t>Peak longitudinal friction</t>
        </is>
      </c>
      <c r="B45" s="3" t="inlineStr">
        <is>
          <t>mu0x</t>
        </is>
      </c>
      <c r="C45" s="3" t="inlineStr">
        <is>
          <t>tires.mu0_long</t>
        </is>
      </c>
      <c r="D45" s="3" t="inlineStr">
        <is>
          <t>Drive/brake grip peak — fitted 9% below lateral; combined slip caps on the friction ELLIPSE in tire.py.</t>
        </is>
      </c>
      <c r="E45" s="5" t="inlineStr">
        <is>
          <t>1.581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>
        <f> tires.mu_road_scale * tires.belt_mu_long</f>
        <v/>
      </c>
      <c r="J45" s="3" t="inlineStr">
        <is>
          <t>Sets wheelspin threshold and traction capability.</t>
        </is>
      </c>
    </row>
    <row r="46">
      <c r="A46" s="3" t="inlineStr">
        <is>
          <t>Load sensitivity</t>
        </is>
      </c>
      <c r="B46" s="3" t="inlineStr">
        <is>
          <t>s_mu</t>
        </is>
      </c>
      <c r="C46" s="3" t="inlineStr">
        <is>
          <t>tires.s_mu</t>
        </is>
      </c>
      <c r="D46" s="3" t="inlineStr">
        <is>
          <t>Load sensitivity — how much the friction COEFFICIENT drops as vertical load rises: mu = mu0 * (1 - s_mu*(Fz/Fz_nom - 1)). Shared by the lateral and longitudinal peaks.</t>
        </is>
      </c>
      <c r="E46" s="5" t="inlineStr">
        <is>
          <t>0.112</t>
        </is>
      </c>
      <c r="F46" s="3" t="inlineStr">
        <is>
          <t>—/100% load</t>
        </is>
      </c>
      <c r="G46" s="6" t="inlineStr">
        <is>
          <t>TTC FIT R9</t>
        </is>
      </c>
      <c r="H46" s="3" t="inlineStr">
        <is>
          <t>mu at low vs high load</t>
        </is>
      </c>
      <c r="I46" s="3" t="inlineStr">
        <is>
          <t>Same TTC fit</t>
        </is>
      </c>
      <c r="J46" s="3" t="inlineStr">
        <is>
          <t>The reason load transfer costs grip and torque placement matters at all. Zero would make TV pointless.</t>
        </is>
      </c>
    </row>
    <row r="47">
      <c r="A47" s="3" t="inlineStr">
        <is>
          <t>Nominal tire load</t>
        </is>
      </c>
      <c r="B47" s="3" t="inlineStr">
        <is>
          <t>Fz_nom</t>
        </is>
      </c>
      <c r="C47" s="3" t="inlineStr">
        <is>
          <t>tires.Fz_nom</t>
        </is>
      </c>
      <c r="D47" s="3" t="inlineStr">
        <is>
          <t>The "nominal" vertical load at which mu0 is defined (~one static corner weight).</t>
        </is>
      </c>
      <c r="E47" s="4" t="inlineStr">
        <is>
          <t>618.6</t>
        </is>
      </c>
      <c r="F47" s="3" t="inlineStr">
        <is>
          <t>N</t>
        </is>
      </c>
      <c r="G47" s="3" t="inlineStr">
        <is>
          <t>DERIVED (follows the masses automatically)</t>
        </is>
      </c>
      <c r="H47" s="3" t="inlineStr">
        <is>
          <t>-</t>
        </is>
      </c>
      <c r="I47" s="3">
        <f> (mass.car_no_driver + mass.driver) * environment.g / 4.0</f>
        <v/>
      </c>
      <c r="J47" s="3" t="inlineStr">
        <is>
          <t>Reference point for the load-sensitivity line.</t>
        </is>
      </c>
    </row>
    <row r="48">
      <c r="A48" s="3" t="inlineStr">
        <is>
          <t>Front cornering stiffness</t>
        </is>
      </c>
      <c r="B48" s="3" t="inlineStr">
        <is>
          <t>c_alpha_f</t>
        </is>
      </c>
      <c r="C48" s="3" t="inlineStr">
        <is>
          <t>tires.c_alpha_front</t>
        </is>
      </c>
      <c r="D48" s="3" t="inlineStr">
        <is>
          <t>Normalized cornering stiffness of a FRONT tire: lateral force per radian of slip angle, per newton of load (C_alpha = this * Fz).</t>
        </is>
      </c>
      <c r="E48" s="5" t="inlineStr">
        <is>
          <t>37</t>
        </is>
      </c>
      <c r="F48" s="3" t="inlineStr">
        <is>
          <t>1/rad</t>
        </is>
      </c>
      <c r="G48" s="6" t="inlineStr">
        <is>
          <t>TTC FIT R9 (same tire all round)</t>
        </is>
      </c>
      <c r="H48" s="3" t="inlineStr">
        <is>
          <t>Slope of Fy vs slip angle at small angles</t>
        </is>
      </c>
      <c r="I48" s="3" t="inlineStr">
        <is>
          <t>TTC cornering sweep</t>
        </is>
      </c>
      <c r="J48" s="3" t="inlineStr">
        <is>
          <t>Front-axle responsiveness; with rear stiffness sets the understeer gradient K_us the TV reference uses.</t>
        </is>
      </c>
    </row>
    <row r="49">
      <c r="A49" s="3" t="inlineStr">
        <is>
          <t>Rear cornering stiffness</t>
        </is>
      </c>
      <c r="B49" s="3" t="inlineStr">
        <is>
          <t>c_alpha_r</t>
        </is>
      </c>
      <c r="C49" s="3" t="inlineStr">
        <is>
          <t>tires.c_alpha_rear</t>
        </is>
      </c>
      <c r="D49" s="3" t="inlineStr">
        <is>
          <t>Same, for a REAR tire.</t>
        </is>
      </c>
      <c r="E49" s="5" t="inlineStr">
        <is>
          <t>37</t>
        </is>
      </c>
      <c r="F49" s="3" t="inlineStr">
        <is>
          <t>1/rad</t>
        </is>
      </c>
      <c r="G49" s="6" t="inlineStr">
        <is>
          <t>TTC FIT R9 (same tire all round)</t>
        </is>
      </c>
      <c r="H49" s="3" t="inlineStr">
        <is>
          <t>Same, rear</t>
        </is>
      </c>
      <c r="I49" s="3" t="inlineStr">
        <is>
          <t>TTC cornering sweep</t>
        </is>
      </c>
      <c r="J49" s="3" t="inlineStr">
        <is>
          <t>Rear grip slope — stability side of the understeer gradient.</t>
        </is>
      </c>
    </row>
    <row r="50">
      <c r="A50" s="3" t="inlineStr">
        <is>
          <t>Longitudinal slip stiffness</t>
        </is>
      </c>
      <c r="B50" s="3" t="inlineStr">
        <is>
          <t>c_kappa</t>
        </is>
      </c>
      <c r="C50" s="3" t="inlineStr">
        <is>
          <t>tires.c_kappa</t>
        </is>
      </c>
      <c r="D50" s="3" t="inlineStr">
        <is>
          <t>Normalized longitudinal slip stiffness: drive/brake force per unit slip ratio per newton (C_kappa = this * Fz).</t>
        </is>
      </c>
      <c r="E50" s="5" t="inlineStr">
        <is>
          <t>41.9</t>
        </is>
      </c>
      <c r="F50" s="3" t="inlineStr">
        <is>
          <t>1/slip</t>
        </is>
      </c>
      <c r="G50" s="6" t="inlineStr">
        <is>
          <t>TTC FIT R9</t>
        </is>
      </c>
      <c r="H50" s="3" t="inlineStr">
        <is>
          <t>Slope of Fx vs slip ratio</t>
        </is>
      </c>
      <c r="I50" s="3" t="inlineStr">
        <is>
          <t>TTC drive/brake sweep</t>
        </is>
      </c>
      <c r="J50" s="3" t="inlineStr">
        <is>
          <t>Sets wheel-spin dynamics speed — the s-diff's plant. Gains retune if it moves.</t>
        </is>
      </c>
    </row>
    <row r="51">
      <c r="A51" s="3" t="inlineStr">
        <is>
          <t>Lateral shape factor</t>
        </is>
      </c>
      <c r="B51" s="3" t="inlineStr">
        <is>
          <t>C_y</t>
        </is>
      </c>
      <c r="C51" s="3" t="inlineStr">
        <is>
          <t>tires.shape_c_lat</t>
        </is>
      </c>
      <c r="D51" s="3" t="inlineStr">
        <is>
          <t>Magic Formula shape factor — how sharply lateral force peaks.</t>
        </is>
      </c>
      <c r="E51" s="5" t="inlineStr">
        <is>
          <t>1.397</t>
        </is>
      </c>
      <c r="F51" s="3" t="inlineStr">
        <is>
          <t>-</t>
        </is>
      </c>
      <c r="G51" s="6" t="inlineStr">
        <is>
          <t>TTC FIT R9</t>
        </is>
      </c>
      <c r="H51" s="3" t="inlineStr">
        <is>
          <t>Curve shape near/past the peak</t>
        </is>
      </c>
      <c r="I51" s="3" t="inlineStr">
        <is>
          <t>TTC fit</t>
        </is>
      </c>
      <c r="J51" s="3" t="inlineStr">
        <is>
          <t>With E_y, sets where the curve peaks (currently 11.6 deg — real slicks ~6-10 deg) and how it lets go.</t>
        </is>
      </c>
    </row>
    <row r="52">
      <c r="A52" s="3" t="inlineStr">
        <is>
          <t>Lateral curvature factor</t>
        </is>
      </c>
      <c r="B52" s="3" t="inlineStr">
        <is>
          <t>E_y</t>
        </is>
      </c>
      <c r="C52" s="3" t="inlineStr">
        <is>
          <t>tires.curv_e_lat</t>
        </is>
      </c>
      <c r="D52" s="3" t="inlineStr">
        <is>
          <t>Magic Formula curvature factor — fall-off past the lateral peak.</t>
        </is>
      </c>
      <c r="E52" s="5" t="inlineStr">
        <is>
          <t>0.365</t>
        </is>
      </c>
      <c r="F52" s="3" t="inlineStr">
        <is>
          <t>-</t>
        </is>
      </c>
      <c r="G52" s="6" t="inlineStr">
        <is>
          <t>TTC FIT R9</t>
        </is>
      </c>
      <c r="H52" s="3" t="inlineStr">
        <is>
          <t>Post-peak behavior</t>
        </is>
      </c>
      <c r="I52" s="3" t="inlineStr">
        <is>
          <t>TTC fit</t>
        </is>
      </c>
      <c r="J52" s="3" t="inlineStr">
        <is>
          <t>Gentle vs snappy breakaway — currently more forgiving than a real slick.</t>
        </is>
      </c>
    </row>
    <row r="53">
      <c r="A53" s="3" t="inlineStr">
        <is>
          <t>Longitudinal shape factor</t>
        </is>
      </c>
      <c r="B53" s="3" t="inlineStr">
        <is>
          <t>C_x</t>
        </is>
      </c>
      <c r="C53" s="3" t="inlineStr">
        <is>
          <t>tires.shape_c_long</t>
        </is>
      </c>
      <c r="D53" s="3" t="inlineStr">
        <is>
          <t>Same idea, drive/brake direction.</t>
        </is>
      </c>
      <c r="E53" s="5" t="inlineStr">
        <is>
          <t>1.705</t>
        </is>
      </c>
      <c r="F53" s="3" t="inlineStr">
        <is>
          <t>-</t>
        </is>
      </c>
      <c r="G53" s="6" t="inlineStr">
        <is>
          <t>TTC FIT R9</t>
        </is>
      </c>
      <c r="H53" s="3" t="inlineStr">
        <is>
          <t>Curve shape</t>
        </is>
      </c>
      <c r="I53" s="3" t="inlineStr">
        <is>
          <t>TTC fit</t>
        </is>
      </c>
      <c r="J53" s="3" t="inlineStr">
        <is>
          <t>Sets the peak slip ratio (~0.10) — also the replay's red-wheel spin threshold.</t>
        </is>
      </c>
    </row>
    <row r="54">
      <c r="A54" s="3" t="inlineStr">
        <is>
          <t>Longitudinal curvature factor</t>
        </is>
      </c>
      <c r="B54" s="3" t="inlineStr">
        <is>
          <t>E_x</t>
        </is>
      </c>
      <c r="C54" s="3" t="inlineStr">
        <is>
          <t>tires.curv_e_long</t>
        </is>
      </c>
      <c r="D54" s="3" t="inlineStr">
        <is>
          <t>Fall-off past the longitudinal peak.</t>
        </is>
      </c>
      <c r="E54" s="5" t="inlineStr">
        <is>
          <t>0.389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Post-peak behavior</t>
        </is>
      </c>
      <c r="I54" s="3" t="inlineStr">
        <is>
          <t>TTC fit</t>
        </is>
      </c>
      <c r="J54" s="3" t="inlineStr">
        <is>
          <t>How violently a spinning wheel loses force — feeds the wheelspin runaway.</t>
        </is>
      </c>
    </row>
    <row r="55">
      <c r="A55" s="2" t="inlineStr">
        <is>
          <t>SENSORS &amp; VCU — the VCU itself</t>
        </is>
      </c>
    </row>
    <row r="56">
      <c r="A56" s="3" t="inlineStr">
        <is>
          <t>VCU loop rate</t>
        </is>
      </c>
      <c r="B56" s="3" t="inlineStr">
        <is>
          <t>-</t>
        </is>
      </c>
      <c r="C56" s="3" t="inlineStr">
        <is>
          <t>sensors.vcu.rate_hz</t>
        </is>
      </c>
      <c r="D56" s="3" t="inlineStr">
        <is>
          <t>VCU control-loop rate — how often sensors are sampled and torque commands are recomputed (physics still integrates at 4 kHz).</t>
        </is>
      </c>
      <c r="E56" s="4" t="inlineStr">
        <is>
          <t>100</t>
        </is>
      </c>
      <c r="F56" s="3" t="inlineStr">
        <is>
          <t>Hz</t>
        </is>
      </c>
      <c r="G56" s="7" t="inlineStr">
        <is>
          <t>PLACEHOLDER — ask software team</t>
        </is>
      </c>
      <c r="H56" s="3" t="inlineStr">
        <is>
          <t>The real VCU loop rate</t>
        </is>
      </c>
      <c r="I56" s="3" t="inlineStr">
        <is>
          <t>Software team</t>
        </is>
      </c>
      <c r="J56" s="3" t="inlineStr">
        <is>
          <t>Gains proven stable at 100 Hz (verify.py section H); make it match reality before quoting controller performance.</t>
        </is>
      </c>
    </row>
    <row r="57">
      <c r="A57" s="3" t="inlineStr">
        <is>
          <t>Plausibility cut threshold</t>
        </is>
      </c>
      <c r="B57" s="3" t="inlineStr">
        <is>
          <t>-</t>
        </is>
      </c>
      <c r="C57" s="3" t="inlineStr">
        <is>
          <t>sensors.vcu.plaus_apps_cut</t>
        </is>
      </c>
      <c r="D57" s="3" t="inlineStr">
        <is>
          <t>APPS percentage above which, while braking, motor power must be cut.</t>
        </is>
      </c>
      <c r="E57" s="4" t="inlineStr">
        <is>
          <t>25</t>
        </is>
      </c>
      <c r="F57" s="3" t="inlineStr">
        <is>
          <t>%</t>
        </is>
      </c>
      <c r="G57" s="3" t="inlineStr">
        <is>
          <t>RULES VALUE (EV.4.7)</t>
        </is>
      </c>
      <c r="H57" s="3" t="inlineStr">
        <is>
          <t>-</t>
        </is>
      </c>
      <c r="I57" s="3" t="inlineStr">
        <is>
          <t>Rulebook (confirm current year)</t>
        </is>
      </c>
      <c r="J57" s="3" t="inlineStr">
        <is>
          <t>Implemented and unit-tested (verify I3); the pedal_check maneuver demonstrates it.</t>
        </is>
      </c>
    </row>
    <row r="58">
      <c r="A58" s="3" t="inlineStr">
        <is>
          <t>Plausibility restore threshold</t>
        </is>
      </c>
      <c r="B58" s="3" t="inlineStr">
        <is>
          <t>-</t>
        </is>
      </c>
      <c r="C58" s="3" t="inlineStr">
        <is>
          <t>sensors.vcu.plaus_apps_restore</t>
        </is>
      </c>
      <c r="D58" s="3" t="inlineStr">
        <is>
          <t>APPS percentage the pedal must fall below before power is restored.</t>
        </is>
      </c>
      <c r="E58" s="4" t="inlineStr">
        <is>
          <t>5</t>
        </is>
      </c>
      <c r="F58" s="3" t="inlineStr">
        <is>
          <t>%</t>
        </is>
      </c>
      <c r="G58" s="3" t="inlineStr">
        <is>
          <t>RULES VALUE (EV.4.7)</t>
        </is>
      </c>
      <c r="H58" s="3" t="inlineStr">
        <is>
          <t>-</t>
        </is>
      </c>
      <c r="I58" s="3" t="inlineStr">
        <is>
          <t>Rulebook (confirm current year)</t>
        </is>
      </c>
      <c r="J58" s="3" t="inlineStr">
        <is>
          <t>The latch that makes the cut a latch and not a flicker.</t>
        </is>
      </c>
    </row>
    <row r="59">
      <c r="A59" s="3" t="inlineStr">
        <is>
          <t>Sensor noise seed</t>
        </is>
      </c>
      <c r="B59" s="3" t="inlineStr">
        <is>
          <t>-</t>
        </is>
      </c>
      <c r="C59" s="3" t="inlineStr">
        <is>
          <t>sensors.vcu.seed</t>
        </is>
      </c>
      <c r="D59" s="3" t="inlineStr">
        <is>
          <t>Seed for the sensor-noise generator — runs are exactly repeatable and all four controller configs see IDENTICAL noise.</t>
        </is>
      </c>
      <c r="E59" s="4" t="inlineStr">
        <is>
          <t>2026</t>
        </is>
      </c>
      <c r="F59" s="3" t="inlineStr">
        <is>
          <t>-</t>
        </is>
      </c>
      <c r="G59" s="3" t="inlineStr">
        <is>
          <t>NUMERICAL GUARD (repeatability)</t>
        </is>
      </c>
      <c r="H59" s="3" t="inlineStr">
        <is>
          <t>-</t>
        </is>
      </c>
      <c r="I59" s="3" t="inlineStr">
        <is>
          <t>-</t>
        </is>
      </c>
      <c r="J59" s="3" t="inlineStr">
        <is>
          <t>Fair comparisons and reproducible runs.</t>
        </is>
      </c>
    </row>
    <row r="60">
      <c r="A60" s="2" t="inlineStr">
        <is>
          <t>SENSORS — APPS, accelerator pedal position</t>
        </is>
      </c>
    </row>
    <row r="61">
      <c r="A61" s="3" t="inlineStr">
        <is>
          <t>APPS quantization</t>
        </is>
      </c>
      <c r="B61" s="3" t="inlineStr">
        <is>
          <t>-</t>
        </is>
      </c>
      <c r="C61" s="3" t="inlineStr">
        <is>
          <t>sensors.throttle_pos.quant_pct</t>
        </is>
      </c>
      <c r="D61" s="3" t="inlineStr">
        <is>
          <t>Accelerator pedal position resolution.</t>
        </is>
      </c>
      <c r="E61" s="4" t="inlineStr">
        <is>
          <t>0.5</t>
        </is>
      </c>
      <c r="F61" s="3" t="inlineStr">
        <is>
          <t>%/LSB</t>
        </is>
      </c>
      <c r="G61" s="7" t="inlineStr">
        <is>
          <t>PLACEHOLDER — sensor spec</t>
        </is>
      </c>
      <c r="H61" s="3" t="inlineStr">
        <is>
          <t>APPS sensor spec</t>
        </is>
      </c>
      <c r="I61" s="3" t="inlineStr">
        <is>
          <t>Datasheet</t>
        </is>
      </c>
      <c r="J61" s="3" t="inlineStr">
        <is>
          <t>Torque request granularity.</t>
        </is>
      </c>
    </row>
    <row r="62">
      <c r="A62" s="2" t="inlineStr">
        <is>
          <t>SENSORS — BPS, brake pressure</t>
        </is>
      </c>
    </row>
    <row r="63">
      <c r="A63" s="3" t="inlineStr">
        <is>
          <t>BPS full range</t>
        </is>
      </c>
      <c r="B63" s="3" t="inlineStr">
        <is>
          <t>-</t>
        </is>
      </c>
      <c r="C63" s="3" t="inlineStr">
        <is>
          <t>sensors.brake_pressure_sens.range_bar</t>
        </is>
      </c>
      <c r="D63" s="3" t="inlineStr">
        <is>
          <t>Brake pressure sensor full range.</t>
        </is>
      </c>
      <c r="E63" s="4" t="inlineStr">
        <is>
          <t>100</t>
        </is>
      </c>
      <c r="F63" s="3" t="inlineStr">
        <is>
          <t>bar</t>
        </is>
      </c>
      <c r="G63" s="7" t="inlineStr">
        <is>
          <t>PLACEHOLDER — sensor spec</t>
        </is>
      </c>
      <c r="H63" s="3" t="inlineStr">
        <is>
          <t>BPS spec + brake system pressures</t>
        </is>
      </c>
      <c r="I63" s="3" t="inlineStr">
        <is>
          <t>Brake team: line pressure at threshold/full braking</t>
        </is>
      </c>
      <c r="J63" s="3" t="inlineStr">
        <is>
          <t>Sets the pressure that maps to full regen.</t>
        </is>
      </c>
    </row>
    <row r="64">
      <c r="A64" s="3" t="inlineStr">
        <is>
          <t>BPS quantization</t>
        </is>
      </c>
      <c r="B64" s="3" t="inlineStr">
        <is>
          <t>-</t>
        </is>
      </c>
      <c r="C64" s="3" t="inlineStr">
        <is>
          <t>sensors.brake_pressure_sens.quant_bar</t>
        </is>
      </c>
      <c r="D64" s="3" t="inlineStr">
        <is>
          <t>Brake pressure sensor resolution.</t>
        </is>
      </c>
      <c r="E64" s="4" t="inlineStr">
        <is>
          <t>0.5</t>
        </is>
      </c>
      <c r="F64" s="3" t="inlineStr">
        <is>
          <t>bar/LSB</t>
        </is>
      </c>
      <c r="G64" s="7" t="inlineStr">
        <is>
          <t>PLACEHOLDER — sensor spec</t>
        </is>
      </c>
      <c r="H64" s="3" t="inlineStr">
        <is>
          <t>BPS spec</t>
        </is>
      </c>
      <c r="I64" s="3" t="inlineStr">
        <is>
          <t>Datasheet</t>
        </is>
      </c>
      <c r="J64" s="3" t="inlineStr">
        <is>
          <t>Regen command granularity.</t>
        </is>
      </c>
    </row>
    <row r="65">
      <c r="A65" s="3" t="inlineStr">
        <is>
          <t>BPS actuated threshold</t>
        </is>
      </c>
      <c r="B65" s="3" t="inlineStr">
        <is>
          <t>-</t>
        </is>
      </c>
      <c r="C65" s="3" t="inlineStr">
        <is>
          <t>sensors.brake_pressure_sens.actuated_bar</t>
        </is>
      </c>
      <c r="D65" s="3" t="inlineStr">
        <is>
          <t>Pressure above which the brake counts as "actuated" for the rules check.</t>
        </is>
      </c>
      <c r="E65" s="4" t="inlineStr">
        <is>
          <t>3</t>
        </is>
      </c>
      <c r="F65" s="3" t="inlineStr">
        <is>
          <t>bar</t>
        </is>
      </c>
      <c r="G65" s="7" t="inlineStr">
        <is>
          <t>PLACEHOLDER — calibration choice</t>
        </is>
      </c>
      <c r="H65" s="3" t="inlineStr">
        <is>
          <t>Brake system pressures</t>
        </is>
      </c>
      <c r="I65" s="3" t="inlineStr">
        <is>
          <t>Brake team: line pressure at threshold braking</t>
        </is>
      </c>
      <c r="J65" s="3" t="inlineStr">
        <is>
          <t>Defines "braking" for the EV.4.7 plausibility check.</t>
        </is>
      </c>
    </row>
    <row r="66">
      <c r="A66" s="3" t="inlineStr">
        <is>
          <t>Max regen torque</t>
        </is>
      </c>
      <c r="B66" s="3" t="inlineStr">
        <is>
          <t>-</t>
        </is>
      </c>
      <c r="C66" s="3" t="inlineStr">
        <is>
          <t>sensors.brake_pressure_sens.t_regen_max</t>
        </is>
      </c>
      <c r="D66" s="3" t="inlineStr">
        <is>
          <t>Total rear-axle REGEN torque at full brake pressure (both motors).</t>
        </is>
      </c>
      <c r="E66" s="4" t="inlineStr">
        <is>
          <t>250</t>
        </is>
      </c>
      <c r="F66" s="3" t="inlineStr">
        <is>
          <t>N*m</t>
        </is>
      </c>
      <c r="G66" s="7" t="inlineStr">
        <is>
          <t>PLACEHOLDER — battery charge limit sets this</t>
        </is>
      </c>
      <c r="H66" s="3" t="inlineStr">
        <is>
          <t>Allowed charge current -&gt; torque</t>
        </is>
      </c>
      <c r="I66" s="3" t="inlineStr">
        <is>
          <t>Accumulator team: max charge C-rate</t>
        </is>
      </c>
      <c r="J66" s="3" t="inlineStr">
        <is>
          <t>Caps how much "braking" the sim's BPS can command.</t>
        </is>
      </c>
    </row>
    <row r="67">
      <c r="A67" s="2" t="inlineStr">
        <is>
          <t>SENSORS — WSS, motor resolver over CAN</t>
        </is>
      </c>
    </row>
    <row r="68">
      <c r="A68" s="3" t="inlineStr">
        <is>
          <t>WSS quantization</t>
        </is>
      </c>
      <c r="B68" s="3" t="inlineStr">
        <is>
          <t>-</t>
        </is>
      </c>
      <c r="C68" s="3" t="inlineStr">
        <is>
          <t>sensors.wheel_speed.quant_rpm</t>
        </is>
      </c>
      <c r="D68" s="3" t="inlineStr">
        <is>
          <t>Motor-speed resolution over CAN (motor side, before the planetary divide).</t>
        </is>
      </c>
      <c r="E68" s="4" t="inlineStr">
        <is>
          <t>1</t>
        </is>
      </c>
      <c r="F68" s="3" t="inlineStr">
        <is>
          <t>rpm/LSB</t>
        </is>
      </c>
      <c r="G68" s="7" t="inlineStr">
        <is>
          <t>PLACEHOLDER — AMK CAN resolution</t>
        </is>
      </c>
      <c r="H68" s="3" t="inlineStr">
        <is>
          <t>AMK CAN speed resolution</t>
        </is>
      </c>
      <c r="I68" s="3" t="inlineStr">
        <is>
          <t>AMK CAN spec</t>
        </is>
      </c>
      <c r="J68" s="3" t="inlineStr">
        <is>
          <t>1 motor rpm is about 1.8 mm/s of ground speed — the resolver-over-CAN path is effectively noise-free wheel speed.</t>
        </is>
      </c>
    </row>
    <row r="69">
      <c r="A69" s="2" t="inlineStr">
        <is>
          <t>SENSORS — SAS, steering angle, and the steering map</t>
        </is>
      </c>
    </row>
    <row r="70">
      <c r="A70" s="3" t="inlineStr">
        <is>
          <t>Steering map A0 (intercept)</t>
        </is>
      </c>
      <c r="B70" s="3" t="inlineStr">
        <is>
          <t>A0</t>
        </is>
      </c>
      <c r="C70" s="3" t="inlineStr">
        <is>
          <t>sensors.steering_angle.map_a0</t>
        </is>
      </c>
      <c r="D70" s="3" t="inlineStr">
        <is>
          <t>Constant term of the handwheel -&gt; road-wheel polynomial.</t>
        </is>
      </c>
      <c r="E70" s="5" t="inlineStr">
        <is>
          <t>-0.0797</t>
        </is>
      </c>
      <c r="F70" s="3" t="inlineStr">
        <is>
          <t>deg (intercept)</t>
        </is>
      </c>
      <c r="G70" s="6" t="inlineStr">
        <is>
          <t>CURRENT CAR (team chart)</t>
        </is>
      </c>
      <c r="H70" s="3" t="inlineStr">
        <is>
          <t>The steering curve including RWheel</t>
        </is>
      </c>
      <c r="I70" s="3" t="inlineStr">
        <is>
          <t>Steering chart / kinematics sweep</t>
        </is>
      </c>
      <c r="J70" s="3" t="inlineStr">
        <is>
          <t>Subtracted out to center the map; kept so the raw fit stays visible.</t>
        </is>
      </c>
    </row>
    <row r="71">
      <c r="A71" s="3" t="inlineStr">
        <is>
          <t>Steering map A1 (linear)</t>
        </is>
      </c>
      <c r="B71" s="3" t="inlineStr">
        <is>
          <t>A1</t>
        </is>
      </c>
      <c r="C71" s="3" t="inlineStr">
        <is>
          <t>sensors.steering_angle.map_a1</t>
        </is>
      </c>
      <c r="D71" s="3" t="inlineStr">
        <is>
          <t>Linear term — the near-center steering ratio.</t>
        </is>
      </c>
      <c r="E71" s="5" t="inlineStr">
        <is>
          <t>0.31</t>
        </is>
      </c>
      <c r="F71" s="3" t="inlineStr">
        <is>
          <t>deg/deg</t>
        </is>
      </c>
      <c r="G71" s="6" t="inlineStr">
        <is>
          <t>CURRENT CAR (team chart)</t>
        </is>
      </c>
      <c r="H71" s="3" t="inlineStr">
        <is>
          <t>The steering curve including RWheel</t>
        </is>
      </c>
      <c r="I71" s="3" t="inlineStr">
        <is>
          <t>Steering chart / kinematics sweep</t>
        </is>
      </c>
      <c r="J71" s="3" t="inlineStr">
        <is>
          <t>How the VCU turns the SAS reading into a road-wheel angle.</t>
        </is>
      </c>
    </row>
    <row r="72">
      <c r="A72" s="3" t="inlineStr">
        <is>
          <t>Steering map A2 (quadratic)</t>
        </is>
      </c>
      <c r="B72" s="3" t="inlineStr">
        <is>
          <t>A2</t>
        </is>
      </c>
      <c r="C72" s="3" t="inlineStr">
        <is>
          <t>sensors.steering_angle.map_a2</t>
        </is>
      </c>
      <c r="D72" s="3" t="inlineStr">
        <is>
          <t>Quadratic term — the ratio falling off toward lock.</t>
        </is>
      </c>
      <c r="E72" s="5" t="inlineStr">
        <is>
          <t>-0.000844</t>
        </is>
      </c>
      <c r="F72" s="3" t="inlineStr">
        <is>
          <t>deg/deg^2</t>
        </is>
      </c>
      <c r="G72" s="6" t="inlineStr">
        <is>
          <t>CURRENT CAR (team chart; -844E-04 read as -8.44E-04)</t>
        </is>
      </c>
      <c r="H72" s="3" t="inlineStr">
        <is>
          <t>The steering curve including RWheel</t>
        </is>
      </c>
      <c r="I72" s="3" t="inlineStr">
        <is>
          <t>Steering chart / kinematics sweep</t>
        </is>
      </c>
      <c r="J72" s="3" t="inlineStr">
        <is>
          <t>Full lock 23 deg is about 103 deg of handwheel.</t>
        </is>
      </c>
    </row>
    <row r="73">
      <c r="A73" s="3" t="inlineStr">
        <is>
          <t>SAS quantization</t>
        </is>
      </c>
      <c r="B73" s="3" t="inlineStr">
        <is>
          <t>-</t>
        </is>
      </c>
      <c r="C73" s="3" t="inlineStr">
        <is>
          <t>sensors.steering_angle.quant_deg</t>
        </is>
      </c>
      <c r="D73" s="3" t="inlineStr">
        <is>
          <t>Steering-angle sensor resolution, at the handwheel.</t>
        </is>
      </c>
      <c r="E73" s="4" t="inlineStr">
        <is>
          <t>0.5</t>
        </is>
      </c>
      <c r="F73" s="3" t="inlineStr">
        <is>
          <t>deg/LSB</t>
        </is>
      </c>
      <c r="G73" s="7" t="inlineStr">
        <is>
          <t>PLACEHOLDER — sensor spec</t>
        </is>
      </c>
      <c r="H73" s="3" t="inlineStr">
        <is>
          <t>Sensor spec</t>
        </is>
      </c>
      <c r="I73" s="3" t="inlineStr">
        <is>
          <t>Datasheet of the chosen SAS</t>
        </is>
      </c>
      <c r="J73" s="3" t="inlineStr">
        <is>
          <t>Steering resolution the VCU actually sees.</t>
        </is>
      </c>
    </row>
    <row r="74">
      <c r="A74" s="2" t="inlineStr">
        <is>
          <t>SENSORS — IMU, yaw gyro and accelerometers</t>
        </is>
      </c>
    </row>
    <row r="75">
      <c r="A75" s="3" t="inlineStr">
        <is>
          <t>IMU gyro noise (1σ)</t>
        </is>
      </c>
      <c r="B75" s="3" t="inlineStr">
        <is>
          <t>sigma_g</t>
        </is>
      </c>
      <c r="C75" s="3" t="inlineStr">
        <is>
          <t>sensors.imu_6axis.gyro_noise_std</t>
        </is>
      </c>
      <c r="D75" s="3" t="inlineStr">
        <is>
          <t>Yaw-gyro 1-sigma noise.</t>
        </is>
      </c>
      <c r="E75" s="4" t="inlineStr">
        <is>
          <t>0.005236</t>
        </is>
      </c>
      <c r="F75" s="3" t="inlineStr">
        <is>
          <t>rad/s (entered as deg/s, 1 sigma)</t>
        </is>
      </c>
      <c r="G75" s="7" t="inlineStr">
        <is>
          <t>PLACEHOLDER — IMU spec</t>
        </is>
      </c>
      <c r="H75" s="3" t="inlineStr">
        <is>
          <t>IMU datasheet numbers</t>
        </is>
      </c>
      <c r="I75" s="3" t="inlineStr">
        <is>
          <t>Chosen IMU's spec sheet</t>
        </is>
      </c>
      <c r="J75" s="3" t="inlineStr">
        <is>
          <t>Goes straight into the TV feedback — sets how clean the yaw control can be.</t>
        </is>
      </c>
    </row>
    <row r="76">
      <c r="A76" s="3" t="inlineStr">
        <is>
          <t>IMU gyro bias</t>
        </is>
      </c>
      <c r="B76" s="3" t="inlineStr">
        <is>
          <t>b_g</t>
        </is>
      </c>
      <c r="C76" s="3" t="inlineStr">
        <is>
          <t>sensors.imu_6axis.gyro_bias</t>
        </is>
      </c>
      <c r="D76" s="3" t="inlineStr">
        <is>
          <t>Constant yaw-gyro zero offset.</t>
        </is>
      </c>
      <c r="E76" s="4" t="inlineStr">
        <is>
          <t>0.001745</t>
        </is>
      </c>
      <c r="F76" s="3" t="inlineStr">
        <is>
          <t>rad/s (entered as deg/s)</t>
        </is>
      </c>
      <c r="G76" s="7" t="inlineStr">
        <is>
          <t>PLACEHOLDER — uncalibrated bias</t>
        </is>
      </c>
      <c r="H76" s="3" t="inlineStr">
        <is>
          <t>IMU datasheet numbers</t>
        </is>
      </c>
      <c r="I76" s="3" t="inlineStr">
        <is>
          <t>Chosen IMU's spec sheet, then a stationary calibration on the car</t>
        </is>
      </c>
      <c r="J76" s="3" t="inlineStr">
        <is>
          <t>Biases the yaw-rate error the TV controller integrates.</t>
        </is>
      </c>
    </row>
    <row r="77">
      <c r="A77" s="3" t="inlineStr">
        <is>
          <t>VCU gyro low-pass</t>
        </is>
      </c>
      <c r="B77" s="3" t="inlineStr">
        <is>
          <t>f_c</t>
        </is>
      </c>
      <c r="C77" s="3" t="inlineStr">
        <is>
          <t>sensors.imu_6axis.lpf_hz</t>
        </is>
      </c>
      <c r="D77" s="3" t="inlineStr">
        <is>
          <t>First-order low-pass the VCU applies to the gyro before feedback.</t>
        </is>
      </c>
      <c r="E77" s="4" t="inlineStr">
        <is>
          <t>20</t>
        </is>
      </c>
      <c r="F77" s="3" t="inlineStr">
        <is>
          <t>Hz</t>
        </is>
      </c>
      <c r="G77" s="7" t="inlineStr">
        <is>
          <t>PLACEHOLDER — VCU filter choice</t>
        </is>
      </c>
      <c r="H77" s="3" t="inlineStr">
        <is>
          <t>-</t>
        </is>
      </c>
      <c r="I77" s="3" t="inlineStr">
        <is>
          <t>Software choice; tune against noise</t>
        </is>
      </c>
      <c r="J77" s="3" t="inlineStr">
        <is>
          <t>Trade: more filtering = less dither but more phase lag in the yaw loop.</t>
        </is>
      </c>
    </row>
    <row r="78">
      <c r="A78" s="3" t="inlineStr">
        <is>
          <t>IMU accel noise</t>
        </is>
      </c>
      <c r="B78" s="3" t="inlineStr">
        <is>
          <t>sigma_a</t>
        </is>
      </c>
      <c r="C78" s="3" t="inlineStr">
        <is>
          <t>sensors.imu_6axis.accel_noise_std</t>
        </is>
      </c>
      <c r="D78" s="3" t="inlineStr">
        <is>
          <t>Accelerometer 1-sigma noise (ax, ay channels).</t>
        </is>
      </c>
      <c r="E78" s="4" t="inlineStr">
        <is>
          <t>0.05</t>
        </is>
      </c>
      <c r="F78" s="3" t="inlineStr">
        <is>
          <t>m/s^2</t>
        </is>
      </c>
      <c r="G78" s="7" t="inlineStr">
        <is>
          <t>PLACEHOLDER — IMU spec</t>
        </is>
      </c>
      <c r="H78" s="3" t="inlineStr">
        <is>
          <t>IMU datasheet</t>
        </is>
      </c>
      <c r="I78" s="3" t="inlineStr">
        <is>
          <t>Spec sheet</t>
        </is>
      </c>
      <c r="J78" s="3" t="inlineStr">
        <is>
          <t>Feeds future estimation (vx observer, validation logging).</t>
        </is>
      </c>
    </row>
    <row r="79">
      <c r="A79" s="2" t="inlineStr">
        <is>
          <t>CONTROLLER GAINS — tuned in-sim; retune whenever vehicle/tire numbers move</t>
        </is>
      </c>
    </row>
    <row r="80">
      <c r="A80" s="3" t="inlineStr">
        <is>
          <t>s-diff proportional gain</t>
        </is>
      </c>
      <c r="B80" s="3" t="inlineStr">
        <is>
          <t>Kp</t>
        </is>
      </c>
      <c r="C80" s="3" t="inlineStr">
        <is>
          <t>controllers.kp_sdiff</t>
        </is>
      </c>
      <c r="D80" s="3" t="inlineStr">
        <is>
          <t>Software differential: torque per rad/s of wheel-speed-difference error.</t>
        </is>
      </c>
      <c r="E80" s="4" t="inlineStr">
        <is>
          <t>15</t>
        </is>
      </c>
      <c r="F80" s="3" t="inlineStr">
        <is>
          <t>N*m/(rad/s)</t>
        </is>
      </c>
      <c r="G80" s="3" t="inlineStr">
        <is>
          <t>TUNED (sim)</t>
        </is>
      </c>
      <c r="H80" s="3" t="inlineStr">
        <is>
          <t>-</t>
        </is>
      </c>
      <c r="I80" s="3" t="inlineStr">
        <is>
          <t>Re-tune in sim: oscillation = too hot, sluggish = too cold</t>
        </is>
      </c>
      <c r="J80" s="3" t="inlineStr">
        <is>
          <t>How hard the s-diff fights wheel-speed error.</t>
        </is>
      </c>
    </row>
    <row r="81">
      <c r="A81" s="3" t="inlineStr">
        <is>
          <t>s-diff integral gain</t>
        </is>
      </c>
      <c r="B81" s="3" t="inlineStr">
        <is>
          <t>Ki</t>
        </is>
      </c>
      <c r="C81" s="3" t="inlineStr">
        <is>
          <t>controllers.ki_sdiff</t>
        </is>
      </c>
      <c r="D81" s="3" t="inlineStr">
        <is>
          <t>Software differential: torque per accumulated rad of error.</t>
        </is>
      </c>
      <c r="E81" s="4" t="inlineStr">
        <is>
          <t>60</t>
        </is>
      </c>
      <c r="F81" s="3" t="inlineStr">
        <is>
          <t>N*m/rad</t>
        </is>
      </c>
      <c r="G81" s="3" t="inlineStr">
        <is>
          <t>TUNED (sim)</t>
        </is>
      </c>
      <c r="H81" s="3" t="inlineStr">
        <is>
          <t>-</t>
        </is>
      </c>
      <c r="I81" s="3" t="inlineStr">
        <is>
          <t>Same</t>
        </is>
      </c>
      <c r="J81" s="3" t="inlineStr">
        <is>
          <t>Removes steady error (e.g. constant-radius corners).</t>
        </is>
      </c>
    </row>
    <row r="82">
      <c r="A82" s="3" t="inlineStr">
        <is>
          <t>s-diff integral clamp</t>
        </is>
      </c>
      <c r="B82" s="3" t="inlineStr">
        <is>
          <t>-</t>
        </is>
      </c>
      <c r="C82" s="3" t="inlineStr">
        <is>
          <t>controllers.i_sdiff_max</t>
        </is>
      </c>
      <c r="D82" s="3" t="inlineStr">
        <is>
          <t>Anti-windup limit on the s-diff integral term.</t>
        </is>
      </c>
      <c r="E82" s="4" t="inlineStr">
        <is>
          <t>60</t>
        </is>
      </c>
      <c r="F82" s="3" t="inlineStr">
        <is>
          <t>N*m</t>
        </is>
      </c>
      <c r="G82" s="3" t="inlineStr">
        <is>
          <t>TUNED (sim)</t>
        </is>
      </c>
      <c r="H82" s="3" t="inlineStr">
        <is>
          <t>-</t>
        </is>
      </c>
      <c r="I82" s="3" t="inlineStr">
        <is>
          <t>Same</t>
        </is>
      </c>
      <c r="J82" s="3" t="inlineStr">
        <is>
          <t>Stops the integral charging up during saturation and overshooting after.</t>
        </is>
      </c>
    </row>
    <row r="83">
      <c r="A83" s="3" t="inlineStr">
        <is>
          <t>s-diff torque-split clamp</t>
        </is>
      </c>
      <c r="B83" s="3" t="inlineStr">
        <is>
          <t>dT_max</t>
        </is>
      </c>
      <c r="C83" s="3" t="inlineStr">
        <is>
          <t>controllers.dt_sdiff_max</t>
        </is>
      </c>
      <c r="D83" s="3" t="inlineStr">
        <is>
          <t>Hard cap on how much torque the s-diff may transfer between the wheels.</t>
        </is>
      </c>
      <c r="E83" s="4" t="inlineStr">
        <is>
          <t>80</t>
        </is>
      </c>
      <c r="F83" s="3" t="inlineStr">
        <is>
          <t>N*m</t>
        </is>
      </c>
      <c r="G83" s="3" t="inlineStr">
        <is>
          <t>TUNED (sim) — SAFETY-CRITICAL</t>
        </is>
      </c>
      <c r="H83" s="3" t="inlineStr">
        <is>
          <t>-</t>
        </is>
      </c>
      <c r="I83" s="3" t="inlineStr">
        <is>
          <t>Sized in sim against the spin scenario</t>
        </is>
      </c>
      <c r="J83" s="3" t="inlineStr">
        <is>
          <t>Without it, an unbounded speed-difference PI dumps torque onto the loaded outer tire near the limit, burns its lateral grip (friction circle), and power-oversteers the car — the sim demonstrates exactly this if you raise the cap. The s-diff's job is trimming wheel speeds, not large torque moves.</t>
        </is>
      </c>
    </row>
    <row r="84">
      <c r="A84" s="3" t="inlineStr">
        <is>
          <t>TV proportional gain</t>
        </is>
      </c>
      <c r="B84" s="3" t="inlineStr">
        <is>
          <t>Kp</t>
        </is>
      </c>
      <c r="C84" s="3" t="inlineStr">
        <is>
          <t>controllers.kp_tv</t>
        </is>
      </c>
      <c r="D84" s="3" t="inlineStr">
        <is>
          <t>Torque vectoring: yaw moment per rad/s of yaw-rate error.</t>
        </is>
      </c>
      <c r="E84" s="4" t="inlineStr">
        <is>
          <t>2,500</t>
        </is>
      </c>
      <c r="F84" s="3" t="inlineStr">
        <is>
          <t>N*m/(rad/s)</t>
        </is>
      </c>
      <c r="G84" s="3" t="inlineStr">
        <is>
          <t>TUNED (sim)</t>
        </is>
      </c>
      <c r="H84" s="3" t="inlineStr">
        <is>
          <t>-</t>
        </is>
      </c>
      <c r="I84" s="3" t="inlineStr">
        <is>
          <t>Re-tune in sim</t>
        </is>
      </c>
      <c r="J84" s="3" t="inlineStr">
        <is>
          <t>How hard TV chases the yaw reference.</t>
        </is>
      </c>
    </row>
    <row r="85">
      <c r="A85" s="3" t="inlineStr">
        <is>
          <t>TV integral gain</t>
        </is>
      </c>
      <c r="B85" s="3" t="inlineStr">
        <is>
          <t>Ki</t>
        </is>
      </c>
      <c r="C85" s="3" t="inlineStr">
        <is>
          <t>controllers.ki_tv</t>
        </is>
      </c>
      <c r="D85" s="3" t="inlineStr">
        <is>
          <t>Torque vectoring: yaw moment per accumulated rad of error.</t>
        </is>
      </c>
      <c r="E85" s="4" t="inlineStr">
        <is>
          <t>1,000</t>
        </is>
      </c>
      <c r="F85" s="3" t="inlineStr">
        <is>
          <t>N*m/rad</t>
        </is>
      </c>
      <c r="G85" s="3" t="inlineStr">
        <is>
          <t>TUNED (sim)</t>
        </is>
      </c>
      <c r="H85" s="3" t="inlineStr">
        <is>
          <t>-</t>
        </is>
      </c>
      <c r="I85" s="3" t="inlineStr">
        <is>
          <t>Same</t>
        </is>
      </c>
      <c r="J85" s="3" t="inlineStr">
        <is>
          <t>Steady-state yaw accuracy in long corners.</t>
        </is>
      </c>
    </row>
    <row r="86">
      <c r="A86" s="3" t="inlineStr">
        <is>
          <t>TV integral clamp</t>
        </is>
      </c>
      <c r="B86" s="3" t="inlineStr">
        <is>
          <t>-</t>
        </is>
      </c>
      <c r="C86" s="3" t="inlineStr">
        <is>
          <t>controllers.i_tv_max</t>
        </is>
      </c>
      <c r="D86" s="3" t="inlineStr">
        <is>
          <t>Anti-windup limit on the TV integral.</t>
        </is>
      </c>
      <c r="E86" s="4" t="inlineStr">
        <is>
          <t>200</t>
        </is>
      </c>
      <c r="F86" s="3" t="inlineStr">
        <is>
          <t>N*m</t>
        </is>
      </c>
      <c r="G86" s="3" t="inlineStr">
        <is>
          <t>TUNED (sim)</t>
        </is>
      </c>
      <c r="H86" s="3" t="inlineStr">
        <is>
          <t>-</t>
        </is>
      </c>
      <c r="I86" s="3" t="inlineStr">
        <is>
          <t>Same</t>
        </is>
      </c>
      <c r="J86" s="3" t="inlineStr">
        <is>
          <t>Bounds windup when the reference is unreachable (e.g. full lock at speed).</t>
        </is>
      </c>
    </row>
    <row r="87">
      <c r="A87" s="3" t="inlineStr">
        <is>
          <t>Yaw-moment clamp</t>
        </is>
      </c>
      <c r="B87" s="3" t="inlineStr">
        <is>
          <t>Mz_max</t>
        </is>
      </c>
      <c r="C87" s="3" t="inlineStr">
        <is>
          <t>controllers.mz_max</t>
        </is>
      </c>
      <c r="D87" s="3" t="inlineStr">
        <is>
          <t>Clamp on total commanded yaw moment.</t>
        </is>
      </c>
      <c r="E87" s="4" t="inlineStr">
        <is>
          <t>600</t>
        </is>
      </c>
      <c r="F87" s="3" t="inlineStr">
        <is>
          <t>N*m</t>
        </is>
      </c>
      <c r="G87" s="3" t="inlineStr">
        <is>
          <t>TUNED (sim)</t>
        </is>
      </c>
      <c r="H87" s="3" t="inlineStr">
        <is>
          <t>-</t>
        </is>
      </c>
      <c r="I87" s="3" t="inlineStr">
        <is>
          <t>Same</t>
        </is>
      </c>
      <c r="J87" s="3" t="inlineStr">
        <is>
          <t>Keeps TV authority bounded.</t>
        </is>
      </c>
    </row>
    <row r="88">
      <c r="A88" s="3" t="inlineStr">
        <is>
          <t>Reference aggressiveness</t>
        </is>
      </c>
      <c r="B88" s="3" t="inlineStr">
        <is>
          <t>-</t>
        </is>
      </c>
      <c r="C88" s="3" t="inlineStr">
        <is>
          <t>controllers.ay_frac</t>
        </is>
      </c>
      <c r="D88" s="3" t="inlineStr">
        <is>
          <t>The yaw-rate reference is capped at this fraction of the friction-limited lateral acceleration.</t>
        </is>
      </c>
      <c r="E88" s="4" t="inlineStr">
        <is>
          <t>0.95</t>
        </is>
      </c>
      <c r="F88" s="3" t="inlineStr">
        <is>
          <t>0-1</t>
        </is>
      </c>
      <c r="G88" s="3" t="inlineStr">
        <is>
          <t>TUNED (sim)</t>
        </is>
      </c>
      <c r="H88" s="3" t="inlineStr">
        <is>
          <t>-</t>
        </is>
      </c>
      <c r="I88" s="3" t="inlineStr">
        <is>
          <t>Same</t>
        </is>
      </c>
      <c r="J88" s="3" t="inlineStr">
        <is>
          <t>0.95 = ask for 95% of what grip allows — margin against an optimistic reference.</t>
        </is>
      </c>
    </row>
    <row r="89">
      <c r="A89" s="2" t="inlineStr">
        <is>
          <t>SOFTWARE-IN-THE-LOOP (sil/)</t>
        </is>
      </c>
    </row>
    <row r="90">
      <c r="A90" s="3" t="inlineStr">
        <is>
          <t>SIL firmware boot time</t>
        </is>
      </c>
      <c r="B90" s="3" t="inlineStr">
        <is>
          <t>-</t>
        </is>
      </c>
      <c r="C90" s="3" t="inlineStr">
        <is>
          <t>sil.boot_s</t>
        </is>
      </c>
      <c r="D90" s="3" t="inlineStr">
        <is>
          <t>How long the real firmware is left to boot — bench check (55 ms) plus the ADC settle loop (1 s) — before a maneuver's t = 0, measured on the firmware's own clock.</t>
        </is>
      </c>
      <c r="E90" s="4" t="inlineStr">
        <is>
          <t>1.5</t>
        </is>
      </c>
      <c r="F90" s="3" t="inlineStr">
        <is>
          <t>s</t>
        </is>
      </c>
      <c r="G90" s="7" t="inlineStr">
        <is>
          <t>PLACEHOLDER — from main.c / initializations.c</t>
        </is>
      </c>
      <c r="H90" s="3" t="inlineStr">
        <is>
          <t>The firmware's true settle time</t>
        </is>
      </c>
      <c r="I90" s="3" t="inlineStr">
        <is>
          <t>Read main.c / initializations.c, or instrument the boot</t>
        </is>
      </c>
      <c r="J90" s="3" t="inlineStr">
        <is>
          <t>Too short and the first samples come from an unsettled ADC.</t>
        </is>
      </c>
    </row>
    <row r="91">
      <c r="A91" s="2" t="inlineStr">
        <is>
          <t>NUMERICAL GUARDS</t>
        </is>
      </c>
    </row>
    <row r="92">
      <c r="A92" s="3" t="inlineStr">
        <is>
          <t>Low-speed guard</t>
        </is>
      </c>
      <c r="B92" s="3" t="inlineStr">
        <is>
          <t>v_eps</t>
        </is>
      </c>
      <c r="C92" s="3" t="inlineStr">
        <is>
          <t>numerical.v_eps</t>
        </is>
      </c>
      <c r="D92" s="3" t="inlineStr">
        <is>
          <t>Minimum speed used in slip-angle / slip-ratio denominators.</t>
        </is>
      </c>
      <c r="E92" s="4" t="inlineStr">
        <is>
          <t>0.5</t>
        </is>
      </c>
      <c r="F92" s="3" t="inlineStr">
        <is>
          <t>m/s</t>
        </is>
      </c>
      <c r="G92" s="3" t="inlineStr">
        <is>
          <t>NUMERICAL GUARD</t>
        </is>
      </c>
      <c r="H92" s="3" t="inlineStr">
        <is>
          <t>-</t>
        </is>
      </c>
      <c r="I92" s="3" t="inlineStr">
        <is>
          <t>-</t>
        </is>
      </c>
      <c r="J92" s="3" t="inlineStr">
        <is>
          <t>Below ~0.5 m/s wheel-slip math is untrustworthy — launches are out of scope until reworked.</t>
        </is>
      </c>
    </row>
    <row r="94">
      <c r="A94" s="8" t="inlineStr">
        <is>
          <t>Legend:</t>
        </is>
      </c>
      <c r="B94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6:J36"/>
    <mergeCell ref="A79:J79"/>
    <mergeCell ref="A89:J89"/>
    <mergeCell ref="A74:J74"/>
    <mergeCell ref="A40:J40"/>
    <mergeCell ref="A9:J9"/>
    <mergeCell ref="A27:J27"/>
    <mergeCell ref="A2:J2"/>
    <mergeCell ref="A62:J62"/>
    <mergeCell ref="A67:J67"/>
    <mergeCell ref="A91:J91"/>
    <mergeCell ref="A34:J34"/>
    <mergeCell ref="A55:J55"/>
    <mergeCell ref="A69:J69"/>
    <mergeCell ref="B94:J94"/>
    <mergeCell ref="A16:J16"/>
    <mergeCell ref="A60:J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The signal TV controls. Its sensor is the one non-negotiable hardware item for TV.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yaw reference and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 TV holding yaw while β grows to 22° = a drift (found in run 007).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The quantity TV commands. 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Yaw-rate reference</t>
        </is>
      </c>
      <c r="B14" s="3" t="inlineStr">
        <is>
          <t>r_ref</t>
        </is>
      </c>
      <c r="C14" s="3" t="inlineStr">
        <is>
          <t>controllers.py</t>
        </is>
      </c>
      <c r="D14" s="3" t="inlineStr">
        <is>
          <t>What the driver's inputs IMPLY they want: bicycle model of steer + speed, capped by friction.</t>
        </is>
      </c>
      <c r="E14" s="3" t="inlineStr">
        <is>
          <t>r_ref = vx·δ/(L + K_us·vx²), |r_ref·vx| ≤ 0.95·µ·g_effective</t>
        </is>
      </c>
      <c r="F14" s="3" t="inlineStr">
        <is>
          <t>Computed in the VCU from steering sensor + speed estimate</t>
        </is>
      </c>
      <c r="G14" s="3" t="inlineStr">
        <is>
          <t>TV steers the car toward this. Known gap: it has no sideslip term — at full lock it will happily command a drift.</t>
        </is>
      </c>
    </row>
    <row r="15">
      <c r="A15" s="3" t="inlineStr">
        <is>
          <t>Torque split</t>
        </is>
      </c>
      <c r="B15" s="3" t="inlineStr">
        <is>
          <t>ΔT</t>
        </is>
      </c>
      <c r="C15" s="3" t="inlineStr">
        <is>
          <t>controllers.py</t>
        </is>
      </c>
      <c r="D15" s="3" t="inlineStr">
        <is>
          <t>The left/right torque difference: ΔT = ΔT_sdiff + ΔT_tv, then limits applied.</t>
        </is>
      </c>
      <c r="E15" s="3" t="inlineStr">
        <is>
          <t>Controller output every update</t>
        </is>
      </c>
      <c r="F15" s="3" t="inlineStr">
        <is>
          <t>Commanded over CAN to the AMK inverters; they report actual torque back</t>
        </is>
      </c>
      <c r="G15" s="3" t="inlineStr">
        <is>
          <t>The single actuator this whole project exists to command.</t>
        </is>
      </c>
    </row>
    <row r="16">
      <c r="A16" s="3" t="inlineStr">
        <is>
          <t>Wheel torques</t>
        </is>
      </c>
      <c r="B16" s="3" t="inlineStr">
        <is>
          <t>T_RL, T_RR</t>
        </is>
      </c>
      <c r="C16" s="3" t="inlineStr">
        <is>
          <t>controllers.py output</t>
        </is>
      </c>
      <c r="D16" s="3" t="inlineStr">
        <is>
          <t>Final per-wheel torque commands after every limit (peak, regen, power caps).</t>
        </is>
      </c>
      <c r="E16" s="3" t="inlineStr">
        <is>
          <t>Base ± ΔT/2, then the limits chain</t>
        </is>
      </c>
      <c r="F16" s="3" t="inlineStr">
        <is>
          <t>AMK inverters accept torque setpoints and report actuals over CAN</t>
        </is>
      </c>
      <c r="G16" s="3" t="inlineStr">
        <is>
          <t>What actually gets sent. The limits chain can silently shrink ΔT at high speed — log requested vs delivered on the car.</t>
        </is>
      </c>
    </row>
    <row r="17">
      <c r="A17" s="3" t="inlineStr">
        <is>
          <t>Total drive power</t>
        </is>
      </c>
      <c r="B17" s="3" t="inlineStr">
        <is>
          <t>P</t>
        </is>
      </c>
      <c r="C17" s="3" t="inlineStr">
        <is>
          <t>logged</t>
        </is>
      </c>
      <c r="D17" s="3" t="inlineStr">
        <is>
          <t>Mechanical power at the wheels: T_RL·ω_RL + T_RR·ω_RR.</t>
        </is>
      </c>
      <c r="E17" s="3" t="inlineStr">
        <is>
          <t>Computed from torques × speeds</t>
        </is>
      </c>
      <c r="F17" s="3" t="inlineStr">
        <is>
          <t>Rules energy meter measures the electrical version at the accumulator</t>
        </is>
      </c>
      <c r="G17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 THE test for tuning TV gains (Kp = response speed, Ki = steady error).</t>
        </is>
      </c>
      <c r="D2" s="3" t="inlineStr">
        <is>
          <t>Straight running, then a fast (~0.1 s) ramp to a fixed steer angle, held to the end.</t>
        </is>
      </c>
      <c r="E2" s="3" t="inlineStr">
        <is>
          <t>Steady-state yaw rate ON the reference → yaw RMSE (run 015: TV 0.011 vs open 0.034 rad/s = 3× precision). NO overshoot/oscillation in the yaw trace (oscillation = gains too hot). Sideslip β &lt; ~1°.</t>
        </is>
      </c>
      <c r="F2" s="3" t="inlineStr">
        <is>
          <t>TV configs must win yaw RMSE; 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Yaw RMSE through reversals; β bounded and symmetric; amplitude NOT growing cycle to cycle (growth = impending spin — exactly how open &amp; s-diff-only died at full lock); Δω flips sign cleanly each reversal.</t>
        </is>
      </c>
      <c r="F4" s="3" t="inlineStr">
        <is>
          <t>TV configs track through reversals; 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 (at 40 mph the friction cap saturates the yaw reference at ~5°).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 (TV yes / open &amp; s-diff-only spin). Found the TV-drifts-when-saturated design gap (FINDINGS 8-bis).</t>
        </is>
      </c>
      <c r="F6" s="3" t="inlineStr">
        <is>
          <t>TV configs survive; 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2026-09-03T19:34:06Z</dcterms:created>
  <dcterms:modified xsi:type="dcterms:W3CDTF">2026-09-03T19:34:06Z</dcterms:modified>
</cp:coreProperties>
</file>