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26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m/s²</t>
        </is>
      </c>
      <c r="G3" s="3" t="inlineStr">
        <is>
          <t>constant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ρ</t>
        </is>
      </c>
      <c r="C4" s="3" t="inlineStr">
        <is>
          <t>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kg/m³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½ρ·(coeff·A)·v²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CAR_MASS_NO_DRIVER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(Intercomp SW500): 87.5/86.3/114.8/111.5 lb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DRIVER_MASS</t>
        </is>
      </c>
      <c r="D7" s="3" t="inlineStr">
        <is>
          <t>Driver in full gear (suit, helmet, shoes). Convention: use the HEAVIEST regular driver.</t>
        </is>
      </c>
      <c r="E7" s="5" t="inlineStr">
        <is>
          <t>70.76</t>
        </is>
      </c>
      <c r="F7" s="3" t="inlineStr">
        <is>
          <t>kg (entered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heaviest + includes gear (~5–8 lb).</t>
        </is>
      </c>
    </row>
    <row r="8">
      <c r="A8" s="2" t="inlineStr">
        <is>
          <t>GEOMETRY &amp; CG</t>
        </is>
      </c>
    </row>
    <row r="9">
      <c r="A9" s="3" t="inlineStr">
        <is>
          <t>Wheelbase</t>
        </is>
      </c>
      <c r="B9" s="3" t="inlineStr">
        <is>
          <t>L</t>
        </is>
      </c>
      <c r="C9" s="3" t="inlineStr">
        <is>
          <t>WHEELBASE</t>
        </is>
      </c>
      <c r="D9" s="3" t="inlineStr">
        <is>
          <t>Front-axle to rear-axle distance.</t>
        </is>
      </c>
      <c r="E9" s="4" t="inlineStr">
        <is>
          <t>1.52</t>
        </is>
      </c>
      <c r="F9" s="3" t="inlineStr">
        <is>
          <t>m</t>
        </is>
      </c>
      <c r="G9" s="3" t="inlineStr">
        <is>
          <t>FROM REPORT (2023 car)</t>
        </is>
      </c>
      <c r="H9" s="3" t="inlineStr">
        <is>
          <t>Axle-center to axle-center distance</t>
        </is>
      </c>
      <c r="I9" s="3" t="inlineStr">
        <is>
          <t>Tape measure / CAD</t>
        </is>
      </c>
      <c r="J9" s="3" t="inlineStr">
        <is>
          <t>Sets yaw geometry, the bicycle-model reference, and CG position math.</t>
        </is>
      </c>
    </row>
    <row r="10">
      <c r="A10" s="3" t="inlineStr">
        <is>
          <t>Front track</t>
        </is>
      </c>
      <c r="B10" s="3" t="inlineStr">
        <is>
          <t>t_f</t>
        </is>
      </c>
      <c r="C10" s="3" t="inlineStr">
        <is>
          <t>TRACK_FRONT</t>
        </is>
      </c>
      <c r="D10" s="3" t="inlineStr">
        <is>
          <t>Distance between the two FRONT contact-patch centers.</t>
        </is>
      </c>
      <c r="E10" s="4" t="inlineStr">
        <is>
          <t>1.34</t>
        </is>
      </c>
      <c r="F10" s="3" t="inlineStr">
        <is>
          <t>m</t>
        </is>
      </c>
      <c r="G10" s="3" t="inlineStr">
        <is>
          <t>FROM REPORT</t>
        </is>
      </c>
      <c r="H10" s="3" t="inlineStr">
        <is>
          <t>Center-of-tire to center-of-tire, front</t>
        </is>
      </c>
      <c r="I10" s="3" t="inlineStr">
        <is>
          <t>Tape measure / CAD</t>
        </is>
      </c>
      <c r="J10" s="3" t="inlineStr">
        <is>
          <t>Lever arm for front lateral load transfer.</t>
        </is>
      </c>
    </row>
    <row r="11">
      <c r="A11" s="3" t="inlineStr">
        <is>
          <t>Rear track</t>
        </is>
      </c>
      <c r="B11" s="3" t="inlineStr">
        <is>
          <t>t_r</t>
        </is>
      </c>
      <c r="C11" s="3" t="inlineStr">
        <is>
          <t>TRACK_REAR</t>
        </is>
      </c>
      <c r="D11" s="3" t="inlineStr">
        <is>
          <t>Same, rear axle.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rear</t>
        </is>
      </c>
      <c r="I11" s="3" t="inlineStr">
        <is>
          <t>Tape measure / CAD</t>
        </is>
      </c>
      <c r="J11" s="3" t="inlineStr">
        <is>
          <t>THE torque-vectoring lever arm: Mz = (t_r/2)·ΔFx. Bigger track = more yaw per N·m of split.</t>
        </is>
      </c>
    </row>
    <row r="12">
      <c r="A12" s="3" t="inlineStr">
        <is>
          <t>Front weight fraction</t>
        </is>
      </c>
      <c r="B12" s="3" t="inlineStr">
        <is>
          <t>%front</t>
        </is>
      </c>
      <c r="C12" s="3" t="inlineStr">
        <is>
          <t>WEIGHT_FRACTION_FRONT</t>
        </is>
      </c>
      <c r="D12" s="3" t="inlineStr">
        <is>
          <t>Share of total weight on the front axle, driver seated.</t>
        </is>
      </c>
      <c r="E12" s="5" t="inlineStr">
        <is>
          <t>0.4344</t>
        </is>
      </c>
      <c r="F12" s="3" t="inlineStr">
        <is>
          <t>0–1</t>
        </is>
      </c>
      <c r="G12" s="6" t="inlineStr">
        <is>
          <t>MEASURED 2026-08-31 (scales, NO driver)</t>
        </is>
      </c>
      <c r="H12" s="3" t="inlineStr">
        <is>
          <t>Front axle share WITH DRIVER SEATED (expect ~1–2% lower than the 43.44% car-only)</t>
        </is>
      </c>
      <c r="I12" s="3" t="inlineStr">
        <is>
          <t>Repeat the corner-scale session with the driver in the seat</t>
        </is>
      </c>
      <c r="J12" s="3" t="inlineStr">
        <is>
          <t>Decides how much grip each axle owns — understeer/oversteer balance starts here.</t>
        </is>
      </c>
    </row>
    <row r="13">
      <c r="A13" s="3" t="inlineStr">
        <is>
          <t>CG height</t>
        </is>
      </c>
      <c r="B13" s="3" t="inlineStr">
        <is>
          <t>h</t>
        </is>
      </c>
      <c r="C13" s="3" t="inlineStr">
        <is>
          <t>H_CG</t>
        </is>
      </c>
      <c r="D13" s="3" t="inlineStr">
        <is>
          <t>Height of the center of gravity above ground.</t>
        </is>
      </c>
      <c r="E13" s="4" t="inlineStr">
        <is>
          <t>0.23</t>
        </is>
      </c>
      <c r="F13" s="3" t="inlineStr">
        <is>
          <t>m</t>
        </is>
      </c>
      <c r="G13" s="3" t="inlineStr">
        <is>
          <t>FROM REPORT</t>
        </is>
      </c>
      <c r="H13" s="3" t="inlineStr">
        <is>
          <t>CG height</t>
        </is>
      </c>
      <c r="I13" s="3" t="inlineStr">
        <is>
          <t>Tilt test (weigh one axle while lifting the other) or CAD</t>
        </is>
      </c>
      <c r="J13" s="3" t="inlineStr">
        <is>
          <t>Drives ALL load transfer — every grip shift in braking, accel, and cornering is proportional to h.</t>
        </is>
      </c>
    </row>
    <row r="14">
      <c r="A14" s="3" t="inlineStr">
        <is>
          <t>Yaw inertia</t>
        </is>
      </c>
      <c r="B14" s="3" t="inlineStr">
        <is>
          <t>I_z</t>
        </is>
      </c>
      <c r="C14" s="3" t="inlineStr">
        <is>
          <t>I_Z</t>
        </is>
      </c>
      <c r="D14" s="3" t="inlineStr">
        <is>
          <t>Resistance of the whole car to changing its yaw (spin) rate.</t>
        </is>
      </c>
      <c r="E14" s="4" t="inlineStr">
        <is>
          <t>70.38</t>
        </is>
      </c>
      <c r="F14" s="3" t="inlineStr">
        <is>
          <t>kg·m²</t>
        </is>
      </c>
      <c r="G14" s="3" t="inlineStr">
        <is>
          <t>FROM REPORT</t>
        </is>
      </c>
      <c r="H14" s="3" t="inlineStr">
        <is>
          <t>Yaw moment of inertia</t>
        </is>
      </c>
      <c r="I14" s="3" t="inlineStr">
        <is>
          <t>CAD mass model (practical) or trifilar pendulum test</t>
        </is>
      </c>
      <c r="J14" s="3" t="inlineStr">
        <is>
          <t>Sets how fast the car responds to the TV yaw moment — directly in Iz·ṙ = ΣMz.</t>
        </is>
      </c>
    </row>
    <row r="15">
      <c r="A15" s="2" t="inlineStr">
        <is>
          <t>WHEELS &amp; DRIVETRAIN</t>
        </is>
      </c>
    </row>
    <row r="16">
      <c r="A16" s="3" t="inlineStr">
        <is>
          <t>Tire radius (loaded)</t>
        </is>
      </c>
      <c r="B16" s="3" t="inlineStr">
        <is>
          <t>r_w</t>
        </is>
      </c>
      <c r="C16" s="3" t="inlineStr">
        <is>
          <t>WHEEL_RADIUS</t>
        </is>
      </c>
      <c r="D16" s="3" t="inlineStr">
        <is>
          <t>Ground-to-axle-center distance with the car's weight on the tire.</t>
        </is>
      </c>
      <c r="E16" s="5" t="inlineStr">
        <is>
          <t>0.2286</t>
        </is>
      </c>
      <c r="F16" s="3" t="inlineStr">
        <is>
          <t>m (18" OD / 2)</t>
        </is>
      </c>
      <c r="G16" s="6" t="inlineStr">
        <is>
          <t>CURRENT CAR</t>
        </is>
      </c>
      <c r="H16" s="3" t="inlineStr">
        <is>
          <t>Axle-center height, car on the ground</t>
        </is>
      </c>
      <c r="I16" s="3" t="inlineStr">
        <is>
          <t>Ruler to the axle center</t>
        </is>
      </c>
      <c r="J16" s="3" t="inlineStr">
        <is>
          <t>Converts wheel torque to drive force (F = T/r) and wheel speed to ground speed. Loaded is a few mm less than free.</t>
        </is>
      </c>
    </row>
    <row r="17">
      <c r="A17" s="3" t="inlineStr">
        <is>
          <t>Upright planetary ratio</t>
        </is>
      </c>
      <c r="B17" s="3" t="inlineStr">
        <is>
          <t>gr</t>
        </is>
      </c>
      <c r="C17" s="3" t="inlineStr">
        <is>
          <t>GEAR_RATIO</t>
        </is>
      </c>
      <c r="D17" s="3" t="inlineStr">
        <is>
          <t>Reduction of the planetary gear stage in each upright, motor shaft → wheel.</t>
        </is>
      </c>
      <c r="E17" s="4" t="inlineStr">
        <is>
          <t>13</t>
        </is>
      </c>
      <c r="F17" s="3" t="inlineStr">
        <is>
          <t>—</t>
        </is>
      </c>
      <c r="G17" s="7" t="inlineStr">
        <is>
          <t>FROM REPORT ⚠ confirm with powertrain</t>
        </is>
      </c>
      <c r="H17" s="3" t="inlineStr">
        <is>
          <t>The planetary's reduction ratio</t>
        </is>
      </c>
      <c r="I17" s="3" t="inlineStr">
        <is>
          <t>Ask powertrain / count gear teeth in CAD</t>
        </is>
      </c>
      <c r="J17" s="3" t="inlineStr">
        <is>
          <t>Wheel torque = motor torque × gr; reflected rotor inertia = rotor J × gr². The 21 N·m motor is useless without it.</t>
        </is>
      </c>
    </row>
    <row r="18">
      <c r="A18" s="3" t="inlineStr">
        <is>
          <t>Motor peak torque</t>
        </is>
      </c>
      <c r="B18" s="3" t="inlineStr">
        <is>
          <t>T_pk</t>
        </is>
      </c>
      <c r="C18" s="3" t="inlineStr">
        <is>
          <t>MOTOR_TORQUE_PEAK</t>
        </is>
      </c>
      <c r="D18" s="3" t="inlineStr">
        <is>
          <t>Peak torque of ONE motor at its shaft.</t>
        </is>
      </c>
      <c r="E18" s="5" t="inlineStr">
        <is>
          <t>21</t>
        </is>
      </c>
      <c r="F18" s="3" t="inlineStr">
        <is>
          <t>N·m</t>
        </is>
      </c>
      <c r="G18" s="6" t="inlineStr">
        <is>
          <t>CURRENT CAR (AMK kit datasheet)</t>
        </is>
      </c>
      <c r="H18" s="3" t="inlineStr">
        <is>
          <t>Nothing (datasheet value)</t>
        </is>
      </c>
      <c r="I18" s="3" t="inlineStr">
        <is>
          <t>AMK kit manual §6.5.3; dyno confirms someday</t>
        </is>
      </c>
      <c r="J18" s="3" t="inlineStr">
        <is>
          <t>×13 gear = 273 N·m per wheel — the ceiling every torque command lives under.</t>
        </is>
      </c>
    </row>
    <row r="19">
      <c r="A19" s="3" t="inlineStr">
        <is>
          <t>Pack voltage</t>
        </is>
      </c>
      <c r="B19" s="3" t="inlineStr">
        <is>
          <t>V_DC</t>
        </is>
      </c>
      <c r="C19" s="3" t="inlineStr">
        <is>
          <t>PACK_VOLTAGE</t>
        </is>
      </c>
      <c r="D19" s="3" t="inlineStr">
        <is>
          <t>Accumulator nominal voltage.</t>
        </is>
      </c>
      <c r="E19" s="5" t="inlineStr">
        <is>
          <t>380</t>
        </is>
      </c>
      <c r="F19" s="3" t="inlineStr">
        <is>
          <t>V</t>
        </is>
      </c>
      <c r="G19" s="6" t="inlineStr">
        <is>
          <t>CURRENT CAR (design decision)</t>
        </is>
      </c>
      <c r="H19" s="3" t="inlineStr">
        <is>
          <t>Nothing (design value)</t>
        </is>
      </c>
      <c r="I19" s="3" t="inlineStr">
        <is>
          <t>Accumulator design</t>
        </is>
      </c>
      <c r="J19" s="3" t="inlineStr">
        <is>
          <t>Sets motor peak power. 4 motors × ~20 kW @ 380 V = 80 kW = the rules cap exactly — sized for the 4WD end state.</t>
        </is>
      </c>
    </row>
    <row r="20">
      <c r="A20" s="3" t="inlineStr">
        <is>
          <t>Motor peak power</t>
        </is>
      </c>
      <c r="B20" s="3" t="inlineStr">
        <is>
          <t>P_pk</t>
        </is>
      </c>
      <c r="C20" s="3" t="inlineStr">
        <is>
          <t>MOTOR_POWER_PEAK</t>
        </is>
      </c>
      <c r="D20" s="3" t="inlineStr">
        <is>
          <t>Peak mechanical power of ONE motor at OUR pack voltage.</t>
        </is>
      </c>
      <c r="E20" s="4" t="inlineStr">
        <is>
          <t>20,000</t>
        </is>
      </c>
      <c r="F20" s="3" t="inlineStr">
        <is>
          <t>W</t>
        </is>
      </c>
      <c r="G20" s="3" t="inlineStr">
        <is>
          <t>DERIVED (kit curves scaled to 380 V)</t>
        </is>
      </c>
      <c r="H20" s="3" t="inlineStr">
        <is>
          <t>Actual peak power at 380 V</t>
        </is>
      </c>
      <c r="I20" s="3" t="inlineStr">
        <is>
          <t>Read the 380 V curve in the AMK manual; dyno pull once the pack exists</t>
        </is>
      </c>
      <c r="J20" s="3" t="inlineStr">
        <is>
          <t>Caps torque above ~17 m/s (37 mph): at 40 mph only 256 of 273 N·m is available. 2-rear build tops out ~40 kW.</t>
        </is>
      </c>
    </row>
    <row r="21">
      <c r="A21" s="3" t="inlineStr">
        <is>
          <t>Motor max speed</t>
        </is>
      </c>
      <c r="B21" s="3" t="inlineStr">
        <is>
          <t>n_max</t>
        </is>
      </c>
      <c r="C21" s="3" t="inlineStr">
        <is>
          <t>MOTOR_MAX_SPEED</t>
        </is>
      </c>
      <c r="D21" s="3" t="inlineStr">
        <is>
          <t>Maximum motor shaft speed.</t>
        </is>
      </c>
      <c r="E21" s="5" t="inlineStr">
        <is>
          <t>2,094</t>
        </is>
      </c>
      <c r="F21" s="3" t="inlineStr">
        <is>
          <t>rad/s (20,000 rpm)</t>
        </is>
      </c>
      <c r="G21" s="6" t="inlineStr">
        <is>
          <t>CURRENT CAR (AMK kit datasheet)</t>
        </is>
      </c>
      <c r="H21" s="3" t="inlineStr">
        <is>
          <t>Nothing (datasheet value)</t>
        </is>
      </c>
      <c r="I21" s="3" t="inlineStr">
        <is>
          <t>AMK kit manual</t>
        </is>
      </c>
      <c r="J21" s="3">
        <f> ~36 m/s (80 mph) ground speed at 13:1 — comfortably above the 40 mph envelope, not the limiter.</f>
        <v/>
      </c>
    </row>
    <row r="22">
      <c r="A22" s="3" t="inlineStr">
        <is>
          <t>Wheel spin inertia</t>
        </is>
      </c>
      <c r="B22" s="3" t="inlineStr">
        <is>
          <t>I_w</t>
        </is>
      </c>
      <c r="C22" s="3" t="inlineStr">
        <is>
          <t>I_WHEEL</t>
        </is>
      </c>
      <c r="D22" s="3" t="inlineStr">
        <is>
          <t>Spin inertia of one rear corner: tire + rim + hub + brake rotor + motor rotor × gr².</t>
        </is>
      </c>
      <c r="E22" s="4" t="inlineStr">
        <is>
          <t>0.35</t>
        </is>
      </c>
      <c r="F22" s="3" t="inlineStr">
        <is>
          <t>kg·m²</t>
        </is>
      </c>
      <c r="G22" s="7" t="inlineStr">
        <is>
          <t>DERIVED estimate ⚠ replace with CAD</t>
        </is>
      </c>
      <c r="H22" s="3" t="inlineStr">
        <is>
          <t>Rotating inertia of one corner</t>
        </is>
      </c>
      <c r="I22" s="3" t="inlineStr">
        <is>
          <t>CAD mass properties + rotor J from the exact AMK motor sheet</t>
        </is>
      </c>
      <c r="J22" s="3" t="inlineStr">
        <is>
          <t>Sets how fast an unloaded wheel spins up — the s-diff's whole problem. Controller gains are sensitive to it: retune when it changes.</t>
        </is>
      </c>
    </row>
    <row r="23">
      <c r="A23" s="3" t="inlineStr">
        <is>
          <t>Total power cap</t>
        </is>
      </c>
      <c r="B23" s="3" t="inlineStr">
        <is>
          <t>P_max</t>
        </is>
      </c>
      <c r="C23" s="3" t="inlineStr">
        <is>
          <t>POWER_CAP_TOTAL</t>
        </is>
      </c>
      <c r="D23" s="3" t="inlineStr">
        <is>
          <t>FSAE EV rules limit on total drive power (EV.4.2).</t>
        </is>
      </c>
      <c r="E23" s="4" t="inlineStr">
        <is>
          <t>80,000</t>
        </is>
      </c>
      <c r="F23" s="3" t="inlineStr">
        <is>
          <t>W</t>
        </is>
      </c>
      <c r="G23" s="3" t="inlineStr">
        <is>
          <t>RULES VALUE</t>
        </is>
      </c>
      <c r="H23" s="3" t="inlineStr">
        <is>
          <t>Nothing (rulebook)</t>
        </is>
      </c>
      <c r="I23" s="3" t="inlineStr">
        <is>
          <t>Confirm in the current-year rulebook</t>
        </is>
      </c>
      <c r="J23" s="3" t="inlineStr">
        <is>
          <t>Hard ceiling. Sim applies it to mechanical power (no drivetrain losses modeled) — real car hits it ~10–15% earlier.</t>
        </is>
      </c>
    </row>
    <row r="24">
      <c r="A24" s="3" t="inlineStr">
        <is>
          <t>Regen speed cutoff</t>
        </is>
      </c>
      <c r="B24" s="3" t="inlineStr">
        <is>
          <t>—</t>
        </is>
      </c>
      <c r="C24" s="3" t="inlineStr">
        <is>
          <t>REGEN_SPEED_CUTOFF</t>
        </is>
      </c>
      <c r="D24" s="3" t="inlineStr">
        <is>
          <t>Below this speed no negative (regen) torque is commanded.</t>
        </is>
      </c>
      <c r="E24" s="4" t="inlineStr">
        <is>
          <t>1.4</t>
        </is>
      </c>
      <c r="F24" s="3" t="inlineStr">
        <is>
          <t>m/s (≈5 km/h)</t>
        </is>
      </c>
      <c r="G24" s="3" t="inlineStr">
        <is>
          <t>RULES VALUE</t>
        </is>
      </c>
      <c r="H24" s="3" t="inlineStr">
        <is>
          <t>Nothing (rulebook)</t>
        </is>
      </c>
      <c r="I24" s="3" t="inlineStr">
        <is>
          <t>Confirm in the current-year rulebook</t>
        </is>
      </c>
      <c r="J24" s="3" t="inlineStr">
        <is>
          <t>Rules restrict regen near standstill; also keeps the sim's low-speed slip math out of its untrustworthy zone.</t>
        </is>
      </c>
    </row>
    <row r="25">
      <c r="A25" s="2" t="inlineStr">
        <is>
          <t>AERO</t>
        </is>
      </c>
    </row>
    <row r="26">
      <c r="A26" s="3" t="inlineStr">
        <is>
          <t>Lift coefficient</t>
        </is>
      </c>
      <c r="B26" s="3" t="inlineStr">
        <is>
          <t>C_L</t>
        </is>
      </c>
      <c r="C26" s="3" t="inlineStr">
        <is>
          <t>CL_COEFF</t>
        </is>
      </c>
      <c r="D26" s="3" t="inlineStr">
        <is>
          <t>Downforce coefficient, referenced to the frontal area.</t>
        </is>
      </c>
      <c r="E26" s="4" t="inlineStr">
        <is>
          <t>3.18</t>
        </is>
      </c>
      <c r="F26" s="3" t="inlineStr">
        <is>
          <t>—</t>
        </is>
      </c>
      <c r="G26" s="3" t="inlineStr">
        <is>
          <t>FROM REPORT (old car's aero)</t>
        </is>
      </c>
      <c r="H26" s="3" t="inlineStr">
        <is>
          <t>Current car's downforce coefficient</t>
        </is>
      </c>
      <c r="I26" s="3" t="inlineStr">
        <is>
          <t>CFD, then straight-line coast-down / load-cell validation</t>
        </is>
      </c>
      <c r="J26" s="3" t="inlineStr">
        <is>
          <t>Downforce = ½ρ·C_L·A·v² — free grip that grows with speed².</t>
        </is>
      </c>
    </row>
    <row r="27">
      <c r="A27" s="3" t="inlineStr">
        <is>
          <t>Drag coefficient</t>
        </is>
      </c>
      <c r="B27" s="3" t="inlineStr">
        <is>
          <t>C_D</t>
        </is>
      </c>
      <c r="C27" s="3" t="inlineStr">
        <is>
          <t>CD_COEFF</t>
        </is>
      </c>
      <c r="D27" s="3" t="inlineStr">
        <is>
          <t>Aerodynamic drag coefficient, same reference area.</t>
        </is>
      </c>
      <c r="E27" s="4" t="inlineStr">
        <is>
          <t>1.36</t>
        </is>
      </c>
      <c r="F27" s="3" t="inlineStr">
        <is>
          <t>—</t>
        </is>
      </c>
      <c r="G27" s="3" t="inlineStr">
        <is>
          <t>FROM REPORT (old car's aero)</t>
        </is>
      </c>
      <c r="H27" s="3" t="inlineStr">
        <is>
          <t>Current car's drag coefficient</t>
        </is>
      </c>
      <c r="I27" s="3" t="inlineStr">
        <is>
          <t>CFD + coast-down test</t>
        </is>
      </c>
      <c r="J27" s="3" t="inlineStr">
        <is>
          <t>Sets top-speed force budget and the torque needed to hold speed in every maneuver.</t>
        </is>
      </c>
    </row>
    <row r="28">
      <c r="A28" s="3" t="inlineStr">
        <is>
          <t>Frontal area</t>
        </is>
      </c>
      <c r="B28" s="3" t="inlineStr">
        <is>
          <t>A_F</t>
        </is>
      </c>
      <c r="C28" s="3" t="inlineStr">
        <is>
          <t>FRONTAL_AREA</t>
        </is>
      </c>
      <c r="D28" s="3" t="inlineStr">
        <is>
          <t>Aerodynamic reference area.</t>
        </is>
      </c>
      <c r="E28" s="4" t="inlineStr">
        <is>
          <t>1.106</t>
        </is>
      </c>
      <c r="F28" s="3" t="inlineStr">
        <is>
          <t>m²</t>
        </is>
      </c>
      <c r="G28" s="3" t="inlineStr">
        <is>
          <t>FROM REPORT</t>
        </is>
      </c>
      <c r="H28" s="3" t="inlineStr">
        <is>
          <t>Projected frontal area</t>
        </is>
      </c>
      <c r="I28" s="3" t="inlineStr">
        <is>
          <t>CAD projection</t>
        </is>
      </c>
      <c r="J28" s="3" t="inlineStr">
        <is>
          <t>Only the products C·A enter the physics — keep coefficient and area consistent with each other.</t>
        </is>
      </c>
    </row>
    <row r="29">
      <c r="A29" s="3" t="inlineStr">
        <is>
          <t>ClA (computed)</t>
        </is>
      </c>
      <c r="B29" s="3" t="inlineStr">
        <is>
          <t>C_L·A</t>
        </is>
      </c>
      <c r="C29" s="3" t="inlineStr">
        <is>
          <t>CLA</t>
        </is>
      </c>
      <c r="D29" s="3" t="inlineStr">
        <is>
          <t>The downforce product the sim actually uses.</t>
        </is>
      </c>
      <c r="E29" s="4" t="inlineStr">
        <is>
          <t>3.517</t>
        </is>
      </c>
      <c r="F29" s="3" t="inlineStr">
        <is>
          <t>m²</t>
        </is>
      </c>
      <c r="G29" s="3" t="inlineStr">
        <is>
          <t>DERIVED</t>
        </is>
      </c>
      <c r="H29" s="3" t="inlineStr">
        <is>
          <t>—</t>
        </is>
      </c>
      <c r="I29" s="3">
        <f> C_L × A_F, never edited directly</f>
        <v/>
      </c>
      <c r="J29" s="3" t="inlineStr">
        <is>
          <t>—</t>
        </is>
      </c>
    </row>
    <row r="30">
      <c r="A30" s="3" t="inlineStr">
        <is>
          <t>CdA (computed)</t>
        </is>
      </c>
      <c r="B30" s="3" t="inlineStr">
        <is>
          <t>C_D·A</t>
        </is>
      </c>
      <c r="C30" s="3" t="inlineStr">
        <is>
          <t>CDA</t>
        </is>
      </c>
      <c r="D30" s="3" t="inlineStr">
        <is>
          <t>The drag product the sim actually uses.</t>
        </is>
      </c>
      <c r="E30" s="4" t="inlineStr">
        <is>
          <t>1.504</t>
        </is>
      </c>
      <c r="F30" s="3" t="inlineStr">
        <is>
          <t>m²</t>
        </is>
      </c>
      <c r="G30" s="3" t="inlineStr">
        <is>
          <t>DERIVED</t>
        </is>
      </c>
      <c r="H30" s="3" t="inlineStr">
        <is>
          <t>—</t>
        </is>
      </c>
      <c r="I30" s="3">
        <f> C_D × A_F, never edited directly</f>
        <v/>
      </c>
      <c r="J30" s="3" t="inlineStr">
        <is>
          <t>—</t>
        </is>
      </c>
    </row>
    <row r="31">
      <c r="A31" s="3" t="inlineStr">
        <is>
          <t>Aero balance</t>
        </is>
      </c>
      <c r="B31" s="3" t="inlineStr">
        <is>
          <t>%aero_f</t>
        </is>
      </c>
      <c r="C31" s="3" t="inlineStr">
        <is>
          <t>AERO_BALANCE_FRONT</t>
        </is>
      </c>
      <c r="D31" s="3" t="inlineStr">
        <is>
          <t>Fraction of total downforce landing on the FRONT axle.</t>
        </is>
      </c>
      <c r="E31" s="4" t="inlineStr">
        <is>
          <t>0.45</t>
        </is>
      </c>
      <c r="F31" s="3" t="inlineStr">
        <is>
          <t>0–1</t>
        </is>
      </c>
      <c r="G31" s="7" t="inlineStr">
        <is>
          <t>PLACEHOLDER ⚠ pure guess</t>
        </is>
      </c>
      <c r="H31" s="3" t="inlineStr">
        <is>
          <t>Center-of-pressure position</t>
        </is>
      </c>
      <c r="I31" s="3" t="inlineStr">
        <is>
          <t>CFD (aero team) — ask for CP height too</t>
        </is>
      </c>
      <c r="J31" s="3" t="inlineStr">
        <is>
          <t>Moves grip between axles as speed rises — shapes high-speed balance directly. One of the last pure guesses outside tires.</t>
        </is>
      </c>
    </row>
    <row r="32">
      <c r="A32" s="2" t="inlineStr">
        <is>
          <t>STEERING GEOMETRY</t>
        </is>
      </c>
    </row>
    <row r="33">
      <c r="A33" s="3" t="inlineStr">
        <is>
          <t>Ackermann fraction</t>
        </is>
      </c>
      <c r="B33" s="3" t="inlineStr">
        <is>
          <t>%A</t>
        </is>
      </c>
      <c r="C33" s="3" t="inlineStr">
        <is>
          <t>ACKERMANN_FRACTION</t>
        </is>
      </c>
      <c r="D33" s="3" t="inlineStr">
        <is>
          <t>How much of the geometric inner/outer steer split the linkage delivers (0 = parallel, 1 = full Ackermann).</t>
        </is>
      </c>
      <c r="E33" s="4" t="inlineStr">
        <is>
          <t>0</t>
        </is>
      </c>
      <c r="F33" s="3" t="inlineStr">
        <is>
          <t>—</t>
        </is>
      </c>
      <c r="G33" s="7" t="inlineStr">
        <is>
          <t>PLACEHOLDER (parallel) ⚠ RWheel curve needed</t>
        </is>
      </c>
      <c r="H33" s="3" t="inlineStr">
        <is>
          <t>The steering curve: both wheels' angles vs handwheel angle</t>
        </is>
      </c>
      <c r="I33" s="3" t="inlineStr">
        <is>
          <t>From the steering chart: LWheel curve is on file, need the RWheel polynomial from the same chart</t>
        </is>
      </c>
      <c r="J33" s="3" t="inlineStr">
        <is>
          <t>±4°/wheel at the 23° full lock; proven to flip whether s-diff-only survives the hairpin (runs 007 vs 008).</t>
        </is>
      </c>
    </row>
    <row r="34">
      <c r="A34" s="2" t="inlineStr">
        <is>
          <t>SENSORS &amp; VCU — what the controller is allowed to know (sensors.py)</t>
        </is>
      </c>
    </row>
    <row r="35">
      <c r="A35" s="3" t="inlineStr">
        <is>
          <t>VCU loop rate</t>
        </is>
      </c>
      <c r="B35" s="3" t="inlineStr">
        <is>
          <t>—</t>
        </is>
      </c>
      <c r="C35" s="3" t="inlineStr">
        <is>
          <t>VCU_RATE_HZ</t>
        </is>
      </c>
      <c r="D35" s="3" t="inlineStr">
        <is>
          <t>How often sensors are sampled and torque is recomputed (physics runs at 4 kHz regardless).</t>
        </is>
      </c>
      <c r="E35" s="4" t="inlineStr">
        <is>
          <t>100</t>
        </is>
      </c>
      <c r="F35" s="3" t="inlineStr">
        <is>
          <t>Hz</t>
        </is>
      </c>
      <c r="G35" s="7" t="inlineStr">
        <is>
          <t>PLACEHOLDER ⚠ ask software team</t>
        </is>
      </c>
      <c r="H35" s="3" t="inlineStr">
        <is>
          <t>The real VCU loop rate</t>
        </is>
      </c>
      <c r="I35" s="3" t="inlineStr">
        <is>
          <t>Software team</t>
        </is>
      </c>
      <c r="J35" s="3" t="inlineStr">
        <is>
          <t>Gains proven stable at 100 Hz; make it match reality before quoting controller performance.</t>
        </is>
      </c>
    </row>
    <row r="36">
      <c r="A36" s="3" t="inlineStr">
        <is>
          <t>Steering map A0/A1/A2</t>
        </is>
      </c>
      <c r="B36" s="3" t="inlineStr">
        <is>
          <t>y=A0+A1x+A2x²</t>
        </is>
      </c>
      <c r="C36" s="3" t="inlineStr">
        <is>
          <t>STEER_MAP_A0/A1/A2</t>
        </is>
      </c>
      <c r="D36" s="3" t="inlineStr">
        <is>
          <t>Handwheel angle → road-wheel angle, the team chart's LWheel curve (centered, odd-extended).</t>
        </is>
      </c>
      <c r="E36" s="5" t="inlineStr">
        <is>
          <t>−0.0797 / 0.31 / −8.44E-04</t>
        </is>
      </c>
      <c r="F36" s="3" t="inlineStr">
        <is>
          <t>deg→deg</t>
        </is>
      </c>
      <c r="G36" s="6" t="inlineStr">
        <is>
          <t>CURRENT CAR (team chart)</t>
        </is>
      </c>
      <c r="H36" s="3" t="inlineStr">
        <is>
          <t>The steering curve incl. RWheel</t>
        </is>
      </c>
      <c r="I36" s="3" t="inlineStr">
        <is>
          <t>Steering chart / kinematics sweep</t>
        </is>
      </c>
      <c r="J36" s="3" t="inlineStr">
        <is>
          <t>How the VCU turns the SAS reading into a road-wheel angle. Full lock 23° ≈ 103° handwheel.</t>
        </is>
      </c>
    </row>
    <row r="37">
      <c r="A37" s="3" t="inlineStr">
        <is>
          <t>SAS quantization</t>
        </is>
      </c>
      <c r="B37" s="3" t="inlineStr">
        <is>
          <t>—</t>
        </is>
      </c>
      <c r="C37" s="3" t="inlineStr">
        <is>
          <t>SAS_QUANT_DEG</t>
        </is>
      </c>
      <c r="D37" s="3" t="inlineStr">
        <is>
          <t>Steering-angle sensor resolution at the handwheel.</t>
        </is>
      </c>
      <c r="E37" s="4" t="inlineStr">
        <is>
          <t>0.5</t>
        </is>
      </c>
      <c r="F37" s="3" t="inlineStr">
        <is>
          <t>deg/LSB</t>
        </is>
      </c>
      <c r="G37" s="7" t="inlineStr">
        <is>
          <t>PLACEHOLDER</t>
        </is>
      </c>
      <c r="H37" s="3" t="inlineStr">
        <is>
          <t>Sensor spec</t>
        </is>
      </c>
      <c r="I37" s="3" t="inlineStr">
        <is>
          <t>Datasheet of the chosen SAS</t>
        </is>
      </c>
      <c r="J37" s="3" t="inlineStr">
        <is>
          <t>Steering resolution the VCU actually sees.</t>
        </is>
      </c>
    </row>
    <row r="38">
      <c r="A38" s="3" t="inlineStr">
        <is>
          <t>WSS quantization</t>
        </is>
      </c>
      <c r="B38" s="3" t="inlineStr">
        <is>
          <t>—</t>
        </is>
      </c>
      <c r="C38" s="3" t="inlineStr">
        <is>
          <t>WSS_QUANT_RPM</t>
        </is>
      </c>
      <c r="D38" s="3" t="inlineStr">
        <is>
          <t>Motor-speed resolution over CAN (WSS = motor resolver ÷ planetary ratio).</t>
        </is>
      </c>
      <c r="E38" s="4" t="inlineStr">
        <is>
          <t>1</t>
        </is>
      </c>
      <c r="F38" s="3" t="inlineStr">
        <is>
          <t>rpm/LSB</t>
        </is>
      </c>
      <c r="G38" s="7" t="inlineStr">
        <is>
          <t>PLACEHOLDER</t>
        </is>
      </c>
      <c r="H38" s="3" t="inlineStr">
        <is>
          <t>AMK CAN speed resolution</t>
        </is>
      </c>
      <c r="I38" s="3" t="inlineStr">
        <is>
          <t>AMK CAN spec</t>
        </is>
      </c>
      <c r="J38" s="3" t="inlineStr">
        <is>
          <t>1 motor rpm ≈ 1.8 mm/s ground speed — effectively noise-free wheel speed.</t>
        </is>
      </c>
    </row>
    <row r="39">
      <c r="A39" s="3" t="inlineStr">
        <is>
          <t>IMU gyro noise / bias</t>
        </is>
      </c>
      <c r="B39" s="3" t="inlineStr">
        <is>
          <t>σ, b</t>
        </is>
      </c>
      <c r="C39" s="3" t="inlineStr">
        <is>
          <t>IMU_GYRO_NOISE_STD / _BIAS</t>
        </is>
      </c>
      <c r="D39" s="3" t="inlineStr">
        <is>
          <t>Yaw-gyro 1σ noise and constant bias.</t>
        </is>
      </c>
      <c r="E39" s="4" t="inlineStr">
        <is>
          <t>0.3 / 0.1 °/s</t>
        </is>
      </c>
      <c r="F39" s="3" t="inlineStr">
        <is>
          <t>rad/s</t>
        </is>
      </c>
      <c r="G39" s="7" t="inlineStr">
        <is>
          <t>PLACEHOLDER</t>
        </is>
      </c>
      <c r="H39" s="3" t="inlineStr">
        <is>
          <t>IMU datasheet numbers</t>
        </is>
      </c>
      <c r="I39" s="3" t="inlineStr">
        <is>
          <t>Chosen IMU's spec sheet</t>
        </is>
      </c>
      <c r="J39" s="3" t="inlineStr">
        <is>
          <t>Goes straight into the TV feedback — sets how clean the yaw control can be.</t>
        </is>
      </c>
    </row>
    <row r="40">
      <c r="A40" s="3" t="inlineStr">
        <is>
          <t>IMU accel noise</t>
        </is>
      </c>
      <c r="B40" s="3" t="inlineStr">
        <is>
          <t>σ</t>
        </is>
      </c>
      <c r="C40" s="3" t="inlineStr">
        <is>
          <t>IMU_ACCEL_NOISE_STD</t>
        </is>
      </c>
      <c r="D40" s="3" t="inlineStr">
        <is>
          <t>Accelerometer 1σ noise (ax, ay).</t>
        </is>
      </c>
      <c r="E40" s="4" t="inlineStr">
        <is>
          <t>0.05</t>
        </is>
      </c>
      <c r="F40" s="3" t="inlineStr">
        <is>
          <t>m/s²</t>
        </is>
      </c>
      <c r="G40" s="7" t="inlineStr">
        <is>
          <t>PLACEHOLDER</t>
        </is>
      </c>
      <c r="H40" s="3" t="inlineStr">
        <is>
          <t>IMU datasheet</t>
        </is>
      </c>
      <c r="I40" s="3" t="inlineStr">
        <is>
          <t>Spec sheet</t>
        </is>
      </c>
      <c r="J40" s="3" t="inlineStr">
        <is>
          <t>Feeds future estimation (vx observer, validation logging).</t>
        </is>
      </c>
    </row>
    <row r="41">
      <c r="A41" s="3" t="inlineStr">
        <is>
          <t>VCU gyro low-pass</t>
        </is>
      </c>
      <c r="B41" s="3" t="inlineStr">
        <is>
          <t>f_c</t>
        </is>
      </c>
      <c r="C41" s="3" t="inlineStr">
        <is>
          <t>IMU_LPF_HZ</t>
        </is>
      </c>
      <c r="D41" s="3" t="inlineStr">
        <is>
          <t>First-order filter the VCU applies to the gyro before feedback.</t>
        </is>
      </c>
      <c r="E41" s="4" t="inlineStr">
        <is>
          <t>20</t>
        </is>
      </c>
      <c r="F41" s="3" t="inlineStr">
        <is>
          <t>Hz</t>
        </is>
      </c>
      <c r="G41" s="7" t="inlineStr">
        <is>
          <t>PLACEHOLDER</t>
        </is>
      </c>
      <c r="H41" s="3" t="inlineStr">
        <is>
          <t>—</t>
        </is>
      </c>
      <c r="I41" s="3" t="inlineStr">
        <is>
          <t>Software choice; tune against noise</t>
        </is>
      </c>
      <c r="J41" s="3" t="inlineStr">
        <is>
          <t>Trade: more filtering = less dither but more phase lag in the yaw loop.</t>
        </is>
      </c>
    </row>
    <row r="42">
      <c r="A42" s="3" t="inlineStr">
        <is>
          <t>APPS quantization</t>
        </is>
      </c>
      <c r="B42" s="3" t="inlineStr">
        <is>
          <t>—</t>
        </is>
      </c>
      <c r="C42" s="3" t="inlineStr">
        <is>
          <t>APPS_QUANT_PCT</t>
        </is>
      </c>
      <c r="D42" s="3" t="inlineStr">
        <is>
          <t>Accelerator pedal position resolution. Pedal map: 100% = full axle torque.</t>
        </is>
      </c>
      <c r="E42" s="4" t="inlineStr">
        <is>
          <t>0.5</t>
        </is>
      </c>
      <c r="F42" s="3" t="inlineStr">
        <is>
          <t>%/LSB</t>
        </is>
      </c>
      <c r="G42" s="7" t="inlineStr">
        <is>
          <t>PLACEHOLDER</t>
        </is>
      </c>
      <c r="H42" s="3" t="inlineStr">
        <is>
          <t>APPS sensor spec</t>
        </is>
      </c>
      <c r="I42" s="3" t="inlineStr">
        <is>
          <t>Datasheet</t>
        </is>
      </c>
      <c r="J42" s="3" t="inlineStr">
        <is>
          <t>Torque request granularity.</t>
        </is>
      </c>
    </row>
    <row r="43">
      <c r="A43" s="3" t="inlineStr">
        <is>
          <t>BPS range / quant / actuated</t>
        </is>
      </c>
      <c r="B43" s="3" t="inlineStr">
        <is>
          <t>—</t>
        </is>
      </c>
      <c r="C43" s="3" t="inlineStr">
        <is>
          <t>BPS_RANGE_BAR / _QUANT_BAR / _ACTUATED_BAR</t>
        </is>
      </c>
      <c r="D43" s="3" t="inlineStr">
        <is>
          <t>Brake pressure sensor range, resolution, and the pressure that counts as 'braking' for the rules check.</t>
        </is>
      </c>
      <c r="E43" s="4" t="inlineStr">
        <is>
          <t>100 / 0.5 / 3 bar</t>
        </is>
      </c>
      <c r="F43" s="3" t="inlineStr">
        <is>
          <t>bar</t>
        </is>
      </c>
      <c r="G43" s="7" t="inlineStr">
        <is>
          <t>PLACEHOLDER</t>
        </is>
      </c>
      <c r="H43" s="3" t="inlineStr">
        <is>
          <t>BPS spec + brake system pressures</t>
        </is>
      </c>
      <c r="I43" s="3" t="inlineStr">
        <is>
          <t>Brake team: line pressure at threshold/full braking</t>
        </is>
      </c>
      <c r="J43" s="3" t="inlineStr">
        <is>
          <t>Defines braking for regen mapping and EV.4.7.</t>
        </is>
      </c>
    </row>
    <row r="44">
      <c r="A44" s="3" t="inlineStr">
        <is>
          <t>Max regen torque</t>
        </is>
      </c>
      <c r="B44" s="3" t="inlineStr">
        <is>
          <t>—</t>
        </is>
      </c>
      <c r="C44" s="3" t="inlineStr">
        <is>
          <t>T_REGEN_MAX</t>
        </is>
      </c>
      <c r="D44" s="3" t="inlineStr">
        <is>
          <t>Total rear-axle regen torque at full brake pressure (mechanical brakes NOT modeled).</t>
        </is>
      </c>
      <c r="E44" s="4" t="inlineStr">
        <is>
          <t>250</t>
        </is>
      </c>
      <c r="F44" s="3" t="inlineStr">
        <is>
          <t>N·m</t>
        </is>
      </c>
      <c r="G44" s="7" t="inlineStr">
        <is>
          <t>PLACEHOLDER ⚠ battery charge limit sets this</t>
        </is>
      </c>
      <c r="H44" s="3" t="inlineStr">
        <is>
          <t>Allowed charge current → torque</t>
        </is>
      </c>
      <c r="I44" s="3" t="inlineStr">
        <is>
          <t>Accumulator team: max charge C-rate</t>
        </is>
      </c>
      <c r="J44" s="3" t="inlineStr">
        <is>
          <t>Caps how much 'braking' the sim's BPS can command.</t>
        </is>
      </c>
    </row>
    <row r="45">
      <c r="A45" s="3" t="inlineStr">
        <is>
          <t>Plausibility thresholds</t>
        </is>
      </c>
      <c r="B45" s="3" t="inlineStr">
        <is>
          <t>—</t>
        </is>
      </c>
      <c r="C45" s="3" t="inlineStr">
        <is>
          <t>PLAUS_APPS_CUT / _RESTORE</t>
        </is>
      </c>
      <c r="D45" s="3" t="inlineStr">
        <is>
          <t>FSAE EV.4.7: &gt;25% APPS while braking cuts power until APPS &lt;5%.</t>
        </is>
      </c>
      <c r="E45" s="4" t="inlineStr">
        <is>
          <t>25 / 5</t>
        </is>
      </c>
      <c r="F45" s="3" t="inlineStr">
        <is>
          <t>%</t>
        </is>
      </c>
      <c r="G45" s="3" t="inlineStr">
        <is>
          <t>RULES VALUE</t>
        </is>
      </c>
      <c r="H45" s="3" t="inlineStr">
        <is>
          <t>—</t>
        </is>
      </c>
      <c r="I45" s="3" t="inlineStr">
        <is>
          <t>Rulebook (confirm current year)</t>
        </is>
      </c>
      <c r="J45" s="3" t="inlineStr">
        <is>
          <t>Implemented and unit-tested (verify I3); pedal_check maneuver demonstrates it.</t>
        </is>
      </c>
    </row>
    <row r="46">
      <c r="A46" s="3" t="inlineStr">
        <is>
          <t>Sensor noise seed</t>
        </is>
      </c>
      <c r="B46" s="3" t="inlineStr">
        <is>
          <t>—</t>
        </is>
      </c>
      <c r="C46" s="3" t="inlineStr">
        <is>
          <t>SENSOR_SEED</t>
        </is>
      </c>
      <c r="D46" s="3" t="inlineStr">
        <is>
          <t>Seed for the noise generator — runs repeatable, all configs see identical noise.</t>
        </is>
      </c>
      <c r="E46" s="4" t="inlineStr">
        <is>
          <t>2026</t>
        </is>
      </c>
      <c r="F46" s="3" t="inlineStr">
        <is>
          <t>—</t>
        </is>
      </c>
      <c r="G46" s="3" t="inlineStr">
        <is>
          <t>NUMERICAL GUARD</t>
        </is>
      </c>
      <c r="H46" s="3" t="inlineStr">
        <is>
          <t>—</t>
        </is>
      </c>
      <c r="I46" s="3" t="inlineStr">
        <is>
          <t>—</t>
        </is>
      </c>
      <c r="J46" s="3" t="inlineStr">
        <is>
          <t>Fair comparisons and reproducible runs.</t>
        </is>
      </c>
    </row>
    <row r="47">
      <c r="A47" s="2" t="inlineStr">
        <is>
          <t>LOAD TRANSFER</t>
        </is>
      </c>
    </row>
    <row r="48">
      <c r="A48" s="3" t="inlineStr">
        <is>
          <t>Front lateral-transfer fraction</t>
        </is>
      </c>
      <c r="B48" s="3" t="inlineStr">
        <is>
          <t>—</t>
        </is>
      </c>
      <c r="C48" s="3" t="inlineStr">
        <is>
          <t>LAT_TRANSFER_FRAC_FRONT</t>
        </is>
      </c>
      <c r="D48" s="3" t="inlineStr">
        <is>
          <t>Share of total lateral load transfer reacted by the FRONT axle (roll-stiffness split).</t>
        </is>
      </c>
      <c r="E48" s="4" t="inlineStr">
        <is>
          <t>0.4376</t>
        </is>
      </c>
      <c r="F48" s="3" t="inlineStr">
        <is>
          <t>0–1</t>
        </is>
      </c>
      <c r="G48" s="7" t="inlineStr">
        <is>
          <t>FROM REPORT (spring-rate ratio only) ⚠ crude</t>
        </is>
      </c>
      <c r="H48" s="3" t="inlineStr">
        <is>
          <t>Front vs rear roll stiffness</t>
        </is>
      </c>
      <c r="I48" s="3" t="inlineStr">
        <is>
          <t>Suspension team: roll rates incl. ARBs, motion ratios, roll-center heights</t>
        </is>
      </c>
      <c r="J48" s="3" t="inlineStr">
        <is>
          <t>Which axle eats the load transfer = which axle loses grip first — trades understeer/oversteer at the limit.</t>
        </is>
      </c>
    </row>
    <row r="49">
      <c r="A49" s="2" t="inlineStr">
        <is>
          <t>TIRES — TTC ROUND 9 FIT (R20 compound, 2026-08-31) — surrogate sizes; road µ = belt × 0.67 pending skidpad</t>
        </is>
      </c>
    </row>
    <row r="50">
      <c r="A50" s="3" t="inlineStr">
        <is>
          <t>Belt→road grip scale</t>
        </is>
      </c>
      <c r="B50" s="3" t="inlineStr">
        <is>
          <t>—</t>
        </is>
      </c>
      <c r="C50" s="3" t="inlineStr">
        <is>
          <t>TIRE_MU_ROAD_SCALE</t>
        </is>
      </c>
      <c r="D50" s="3" t="inlineStr">
        <is>
          <t>Calspan's belt grips harder than asphalt; peak µ scaled by this for road prediction.</t>
        </is>
      </c>
      <c r="E50" s="4" t="inlineStr">
        <is>
          <t>0.67</t>
        </is>
      </c>
      <c r="F50" s="3" t="inlineStr">
        <is>
          <t>—</t>
        </is>
      </c>
      <c r="G50" s="7" t="inlineStr">
        <is>
          <t>PLACEHOLDER ⚠ skidpad measures this</t>
        </is>
      </c>
      <c r="H50" s="3" t="inlineStr">
        <is>
          <t>Steady-state skidpad lateral g</t>
        </is>
      </c>
      <c r="I50" s="3" t="inlineStr">
        <is>
          <t>Skidpad test vs sim prediction</t>
        </is>
      </c>
      <c r="J50" s="3" t="inlineStr">
        <is>
          <t>Multiplies EVERY grip number — the single biggest absolute-accuracy lever left.</t>
        </is>
      </c>
    </row>
    <row r="51">
      <c r="A51" s="3" t="inlineStr">
        <is>
          <t>Peak longitudinal friction</t>
        </is>
      </c>
      <c r="B51" s="3" t="inlineStr">
        <is>
          <t>µ₀x</t>
        </is>
      </c>
      <c r="C51" s="3" t="inlineStr">
        <is>
          <t>TIRE_MU0_LONG</t>
        </is>
      </c>
      <c r="D51" s="3" t="inlineStr">
        <is>
          <t>Drive/brake grip peak — fitted 9% below lateral; combined slip caps on the friction ELLIPSE.</t>
        </is>
      </c>
      <c r="E51" s="5" t="inlineStr">
        <is>
          <t>1.581</t>
        </is>
      </c>
      <c r="F51" s="3" t="inlineStr">
        <is>
          <t>—</t>
        </is>
      </c>
      <c r="G51" s="6" t="inlineStr">
        <is>
          <t>TTC FIT R9</t>
        </is>
      </c>
      <c r="H51" s="3" t="inlineStr">
        <is>
          <t>—</t>
        </is>
      </c>
      <c r="I51" s="3" t="inlineStr">
        <is>
          <t>tire_fit.py on Round 9 drive/brake runs</t>
        </is>
      </c>
      <c r="J51" s="3" t="inlineStr">
        <is>
          <t>Sets wheelspin threshold and traction capability.</t>
        </is>
      </c>
    </row>
    <row r="52">
      <c r="A52" s="3" t="inlineStr">
        <is>
          <t>Peak friction coefficient</t>
        </is>
      </c>
      <c r="B52" s="3" t="inlineStr">
        <is>
          <t>µ₀</t>
        </is>
      </c>
      <c r="C52" s="3" t="inlineStr">
        <is>
          <t>TIRE_MU0</t>
        </is>
      </c>
      <c r="D52" s="3" t="inlineStr">
        <is>
          <t>Peak grip per newton of load, at the nominal load.</t>
        </is>
      </c>
      <c r="E52" s="5" t="inlineStr">
        <is>
          <t>1.737</t>
        </is>
      </c>
      <c r="F52" s="3" t="inlineStr">
        <is>
          <t>—</t>
        </is>
      </c>
      <c r="G52" s="6" t="inlineStr">
        <is>
          <t>TTC FIT R9</t>
        </is>
      </c>
      <c r="H52" s="3" t="inlineStr">
        <is>
          <t>Peak µ at several loads</t>
        </is>
      </c>
      <c r="I52" s="3" t="inlineStr">
        <is>
          <t>TTC data fit (if access ever appears) or skidpad testing</t>
        </is>
      </c>
      <c r="J52" s="3" t="inlineStr">
        <is>
          <t>THE grip number. Max lateral g, spin thresholds, everything — the single most important number in the sim.</t>
        </is>
      </c>
    </row>
    <row r="53">
      <c r="A53" s="3" t="inlineStr">
        <is>
          <t>Load sensitivity</t>
        </is>
      </c>
      <c r="B53" s="3" t="inlineStr">
        <is>
          <t>s_µ</t>
        </is>
      </c>
      <c r="C53" s="3" t="inlineStr">
        <is>
          <t>TIRE_S_MU</t>
        </is>
      </c>
      <c r="D53" s="3" t="inlineStr">
        <is>
          <t>How fast the grip COEFFICIENT falls as load rises.</t>
        </is>
      </c>
      <c r="E53" s="5" t="inlineStr">
        <is>
          <t>0.112</t>
        </is>
      </c>
      <c r="F53" s="3" t="inlineStr">
        <is>
          <t>—/100% load</t>
        </is>
      </c>
      <c r="G53" s="6" t="inlineStr">
        <is>
          <t>TTC FIT R9</t>
        </is>
      </c>
      <c r="H53" s="3" t="inlineStr">
        <is>
          <t>µ at low vs high load</t>
        </is>
      </c>
      <c r="I53" s="3" t="inlineStr">
        <is>
          <t>Same TTC fit</t>
        </is>
      </c>
      <c r="J53" s="3" t="inlineStr">
        <is>
          <t>The reason load transfer costs grip and torque placement matters at all. Zero would make TV pointless.</t>
        </is>
      </c>
    </row>
    <row r="54">
      <c r="A54" s="3" t="inlineStr">
        <is>
          <t>Nominal tire load</t>
        </is>
      </c>
      <c r="B54" s="3" t="inlineStr">
        <is>
          <t>Fz_nom</t>
        </is>
      </c>
      <c r="C54" s="3" t="inlineStr">
        <is>
          <t>TIRE_FZ_NOM</t>
        </is>
      </c>
      <c r="D54" s="3" t="inlineStr">
        <is>
          <t>The load at which µ₀ is defined (≈ one static corner weight).</t>
        </is>
      </c>
      <c r="E54" s="4" t="inlineStr">
        <is>
          <t>618.6</t>
        </is>
      </c>
      <c r="F54" s="3" t="inlineStr">
        <is>
          <t>N</t>
        </is>
      </c>
      <c r="G54" s="3" t="inlineStr">
        <is>
          <t>DERIVED (follows the masses automatically)</t>
        </is>
      </c>
      <c r="H54" s="3" t="inlineStr">
        <is>
          <t>—</t>
        </is>
      </c>
      <c r="I54" s="3">
        <f> (m_car + m_driver)·g / 4</f>
        <v/>
      </c>
      <c r="J54" s="3" t="inlineStr">
        <is>
          <t>Reference point for the load-sensitivity line.</t>
        </is>
      </c>
    </row>
    <row r="55">
      <c r="A55" s="3" t="inlineStr">
        <is>
          <t>Front cornering stiffness</t>
        </is>
      </c>
      <c r="B55" s="3" t="inlineStr">
        <is>
          <t>c_α,f</t>
        </is>
      </c>
      <c r="C55" s="3" t="inlineStr">
        <is>
          <t>TIRE_C_ALPHA_FRONT</t>
        </is>
      </c>
      <c r="D55" s="3" t="inlineStr">
        <is>
          <t>Lateral force per radian of slip angle, per newton of load (front tire).</t>
        </is>
      </c>
      <c r="E55" s="5" t="inlineStr">
        <is>
          <t>37</t>
        </is>
      </c>
      <c r="F55" s="3" t="inlineStr">
        <is>
          <t>1/rad</t>
        </is>
      </c>
      <c r="G55" s="6" t="inlineStr">
        <is>
          <t>TTC FIT R9</t>
        </is>
      </c>
      <c r="H55" s="3" t="inlineStr">
        <is>
          <t>Slope of Fy vs slip angle at small angles</t>
        </is>
      </c>
      <c r="I55" s="3" t="inlineStr">
        <is>
          <t>TTC cornering sweep</t>
        </is>
      </c>
      <c r="J55" s="3" t="inlineStr">
        <is>
          <t>Front-axle responsiveness; with rear stiffness sets the understeer gradient K_us the TV reference uses.</t>
        </is>
      </c>
    </row>
    <row r="56">
      <c r="A56" s="3" t="inlineStr">
        <is>
          <t>Rear cornering stiffness</t>
        </is>
      </c>
      <c r="B56" s="3" t="inlineStr">
        <is>
          <t>c_α,r</t>
        </is>
      </c>
      <c r="C56" s="3" t="inlineStr">
        <is>
          <t>TIRE_C_ALPHA_REAR</t>
        </is>
      </c>
      <c r="D56" s="3" t="inlineStr">
        <is>
          <t>Same, rear tire.</t>
        </is>
      </c>
      <c r="E56" s="5" t="inlineStr">
        <is>
          <t>37</t>
        </is>
      </c>
      <c r="F56" s="3" t="inlineStr">
        <is>
          <t>1/rad</t>
        </is>
      </c>
      <c r="G56" s="6" t="inlineStr">
        <is>
          <t>TTC FIT R9</t>
        </is>
      </c>
      <c r="H56" s="3" t="inlineStr">
        <is>
          <t>Same, rear</t>
        </is>
      </c>
      <c r="I56" s="3" t="inlineStr">
        <is>
          <t>TTC cornering sweep</t>
        </is>
      </c>
      <c r="J56" s="3" t="inlineStr">
        <is>
          <t>Rear grip slope — stability side of the understeer gradient.</t>
        </is>
      </c>
    </row>
    <row r="57">
      <c r="A57" s="3" t="inlineStr">
        <is>
          <t>Longitudinal slip stiffness</t>
        </is>
      </c>
      <c r="B57" s="3" t="inlineStr">
        <is>
          <t>c_κ</t>
        </is>
      </c>
      <c r="C57" s="3" t="inlineStr">
        <is>
          <t>TIRE_C_KAPPA</t>
        </is>
      </c>
      <c r="D57" s="3" t="inlineStr">
        <is>
          <t>Drive/brake force per unit slip ratio, per newton of load.</t>
        </is>
      </c>
      <c r="E57" s="5" t="inlineStr">
        <is>
          <t>41.9</t>
        </is>
      </c>
      <c r="F57" s="3" t="inlineStr">
        <is>
          <t>1/unit slip</t>
        </is>
      </c>
      <c r="G57" s="6" t="inlineStr">
        <is>
          <t>TTC FIT R9</t>
        </is>
      </c>
      <c r="H57" s="3" t="inlineStr">
        <is>
          <t>Slope of Fx vs slip ratio</t>
        </is>
      </c>
      <c r="I57" s="3" t="inlineStr">
        <is>
          <t>TTC drive/brake sweep</t>
        </is>
      </c>
      <c r="J57" s="3" t="inlineStr">
        <is>
          <t>Sets wheel-spin dynamics speed — the s-diff's plant. Gains retune if it moves.</t>
        </is>
      </c>
    </row>
    <row r="58">
      <c r="A58" s="3" t="inlineStr">
        <is>
          <t>Lateral shape factor</t>
        </is>
      </c>
      <c r="B58" s="3" t="inlineStr">
        <is>
          <t>C_y</t>
        </is>
      </c>
      <c r="C58" s="3" t="inlineStr">
        <is>
          <t>TIRE_SHAPE_C_LAT</t>
        </is>
      </c>
      <c r="D58" s="3" t="inlineStr">
        <is>
          <t>Magic Formula: how sharply lateral force peaks.</t>
        </is>
      </c>
      <c r="E58" s="5" t="inlineStr">
        <is>
          <t>1.397</t>
        </is>
      </c>
      <c r="F58" s="3" t="inlineStr">
        <is>
          <t>—</t>
        </is>
      </c>
      <c r="G58" s="6" t="inlineStr">
        <is>
          <t>TTC FIT R9</t>
        </is>
      </c>
      <c r="H58" s="3" t="inlineStr">
        <is>
          <t>Curve shape near/past the peak</t>
        </is>
      </c>
      <c r="I58" s="3" t="inlineStr">
        <is>
          <t>TTC fit</t>
        </is>
      </c>
      <c r="J58" s="3" t="inlineStr">
        <is>
          <t>With E_y, sets where the curve peaks (currently 11.6° — real slicks ~6–10°) and how it lets go.</t>
        </is>
      </c>
    </row>
    <row r="59">
      <c r="A59" s="3" t="inlineStr">
        <is>
          <t>Lateral curvature factor</t>
        </is>
      </c>
      <c r="B59" s="3" t="inlineStr">
        <is>
          <t>E_y</t>
        </is>
      </c>
      <c r="C59" s="3" t="inlineStr">
        <is>
          <t>TIRE_CURV_E_LAT</t>
        </is>
      </c>
      <c r="D59" s="3" t="inlineStr">
        <is>
          <t>Magic Formula: fall-off past the lateral peak.</t>
        </is>
      </c>
      <c r="E59" s="5" t="inlineStr">
        <is>
          <t>0.365</t>
        </is>
      </c>
      <c r="F59" s="3" t="inlineStr">
        <is>
          <t>—</t>
        </is>
      </c>
      <c r="G59" s="6" t="inlineStr">
        <is>
          <t>TTC FIT R9</t>
        </is>
      </c>
      <c r="H59" s="3" t="inlineStr">
        <is>
          <t>Post-peak behavior</t>
        </is>
      </c>
      <c r="I59" s="3" t="inlineStr">
        <is>
          <t>TTC fit</t>
        </is>
      </c>
      <c r="J59" s="3" t="inlineStr">
        <is>
          <t>Gentle vs snappy breakaway — currently more forgiving than a real slick.</t>
        </is>
      </c>
    </row>
    <row r="60">
      <c r="A60" s="3" t="inlineStr">
        <is>
          <t>Longitudinal shape factor</t>
        </is>
      </c>
      <c r="B60" s="3" t="inlineStr">
        <is>
          <t>C_x</t>
        </is>
      </c>
      <c r="C60" s="3" t="inlineStr">
        <is>
          <t>TIRE_SHAPE_C_LONG</t>
        </is>
      </c>
      <c r="D60" s="3" t="inlineStr">
        <is>
          <t>Same idea, drive/brake direction.</t>
        </is>
      </c>
      <c r="E60" s="5" t="inlineStr">
        <is>
          <t>1.705</t>
        </is>
      </c>
      <c r="F60" s="3" t="inlineStr">
        <is>
          <t>—</t>
        </is>
      </c>
      <c r="G60" s="6" t="inlineStr">
        <is>
          <t>TTC FIT R9</t>
        </is>
      </c>
      <c r="H60" s="3" t="inlineStr">
        <is>
          <t>Curve shape</t>
        </is>
      </c>
      <c r="I60" s="3" t="inlineStr">
        <is>
          <t>TTC fit</t>
        </is>
      </c>
      <c r="J60" s="3" t="inlineStr">
        <is>
          <t>Sets the peak slip ratio (~0.10) — also the replay's red-wheel spin threshold.</t>
        </is>
      </c>
    </row>
    <row r="61">
      <c r="A61" s="3" t="inlineStr">
        <is>
          <t>Longitudinal curvature factor</t>
        </is>
      </c>
      <c r="B61" s="3" t="inlineStr">
        <is>
          <t>E_x</t>
        </is>
      </c>
      <c r="C61" s="3" t="inlineStr">
        <is>
          <t>TIRE_CURV_E_LONG</t>
        </is>
      </c>
      <c r="D61" s="3" t="inlineStr">
        <is>
          <t>Fall-off past the longitudinal peak.</t>
        </is>
      </c>
      <c r="E61" s="5" t="inlineStr">
        <is>
          <t>0.389</t>
        </is>
      </c>
      <c r="F61" s="3" t="inlineStr">
        <is>
          <t>—</t>
        </is>
      </c>
      <c r="G61" s="6" t="inlineStr">
        <is>
          <t>TTC FIT R9</t>
        </is>
      </c>
      <c r="H61" s="3" t="inlineStr">
        <is>
          <t>Post-peak behavior</t>
        </is>
      </c>
      <c r="I61" s="3" t="inlineStr">
        <is>
          <t>TTC fit</t>
        </is>
      </c>
      <c r="J61" s="3" t="inlineStr">
        <is>
          <t>How violently a spinning wheel loses force — feeds the wheelspin runaway.</t>
        </is>
      </c>
    </row>
    <row r="62">
      <c r="A62" s="2" t="inlineStr">
        <is>
          <t>CONTROLLER GAINS — tuned in-sim; retune whenever vehicle/tire numbers move</t>
        </is>
      </c>
    </row>
    <row r="63">
      <c r="A63" s="3" t="inlineStr">
        <is>
          <t>s-diff proportional gain</t>
        </is>
      </c>
      <c r="B63" s="3" t="inlineStr">
        <is>
          <t>Kp</t>
        </is>
      </c>
      <c r="C63" s="3" t="inlineStr">
        <is>
          <t>KP_SDIFF</t>
        </is>
      </c>
      <c r="D63" s="3" t="inlineStr">
        <is>
          <t>Torque per rad/s of wheel-speed-difference error.</t>
        </is>
      </c>
      <c r="E63" s="4" t="inlineStr">
        <is>
          <t>15</t>
        </is>
      </c>
      <c r="F63" s="3" t="inlineStr">
        <is>
          <t>N·m/(rad/s)</t>
        </is>
      </c>
      <c r="G63" s="3" t="inlineStr">
        <is>
          <t>TUNED (sim)</t>
        </is>
      </c>
      <c r="H63" s="3" t="inlineStr">
        <is>
          <t>—</t>
        </is>
      </c>
      <c r="I63" s="3" t="inlineStr">
        <is>
          <t>Re-tune in sim: oscillation = too hot, sluggish = too cold</t>
        </is>
      </c>
      <c r="J63" s="3" t="inlineStr">
        <is>
          <t>How hard the s-diff fights wheel-speed error.</t>
        </is>
      </c>
    </row>
    <row r="64">
      <c r="A64" s="3" t="inlineStr">
        <is>
          <t>s-diff integral gain</t>
        </is>
      </c>
      <c r="B64" s="3" t="inlineStr">
        <is>
          <t>Ki</t>
        </is>
      </c>
      <c r="C64" s="3" t="inlineStr">
        <is>
          <t>KI_SDIFF</t>
        </is>
      </c>
      <c r="D64" s="3" t="inlineStr">
        <is>
          <t>Torque per accumulated rad of error.</t>
        </is>
      </c>
      <c r="E64" s="4" t="inlineStr">
        <is>
          <t>60</t>
        </is>
      </c>
      <c r="F64" s="3" t="inlineStr">
        <is>
          <t>N·m/rad</t>
        </is>
      </c>
      <c r="G64" s="3" t="inlineStr">
        <is>
          <t>TUNED (sim)</t>
        </is>
      </c>
      <c r="H64" s="3" t="inlineStr">
        <is>
          <t>—</t>
        </is>
      </c>
      <c r="I64" s="3" t="inlineStr">
        <is>
          <t>Same</t>
        </is>
      </c>
      <c r="J64" s="3" t="inlineStr">
        <is>
          <t>Removes steady error (e.g. constant-radius corners).</t>
        </is>
      </c>
    </row>
    <row r="65">
      <c r="A65" s="3" t="inlineStr">
        <is>
          <t>s-diff integral clamp</t>
        </is>
      </c>
      <c r="B65" s="3" t="inlineStr">
        <is>
          <t>—</t>
        </is>
      </c>
      <c r="C65" s="3" t="inlineStr">
        <is>
          <t>I_SDIFF_MAX</t>
        </is>
      </c>
      <c r="D65" s="3" t="inlineStr">
        <is>
          <t>Anti-windup limit on the integral term.</t>
        </is>
      </c>
      <c r="E65" s="4" t="inlineStr">
        <is>
          <t>60</t>
        </is>
      </c>
      <c r="F65" s="3" t="inlineStr">
        <is>
          <t>N·m</t>
        </is>
      </c>
      <c r="G65" s="3" t="inlineStr">
        <is>
          <t>TUNED (sim)</t>
        </is>
      </c>
      <c r="H65" s="3" t="inlineStr">
        <is>
          <t>—</t>
        </is>
      </c>
      <c r="I65" s="3" t="inlineStr">
        <is>
          <t>Same</t>
        </is>
      </c>
      <c r="J65" s="3" t="inlineStr">
        <is>
          <t>Stops the integral charging up during saturation and overshooting after.</t>
        </is>
      </c>
    </row>
    <row r="66">
      <c r="A66" s="3" t="inlineStr">
        <is>
          <t>s-diff torque-split clamp</t>
        </is>
      </c>
      <c r="B66" s="3" t="inlineStr">
        <is>
          <t>ΔT_max</t>
        </is>
      </c>
      <c r="C66" s="3" t="inlineStr">
        <is>
          <t>DT_SDIFF_MAX</t>
        </is>
      </c>
      <c r="D66" s="3" t="inlineStr">
        <is>
          <t>Hard cap on how much torque the s-diff may move between wheels.</t>
        </is>
      </c>
      <c r="E66" s="4" t="inlineStr">
        <is>
          <t>80</t>
        </is>
      </c>
      <c r="F66" s="3" t="inlineStr">
        <is>
          <t>N·m</t>
        </is>
      </c>
      <c r="G66" s="3" t="inlineStr">
        <is>
          <t>TUNED (sim) — SAFETY-CRITICAL</t>
        </is>
      </c>
      <c r="H66" s="3" t="inlineStr">
        <is>
          <t>—</t>
        </is>
      </c>
      <c r="I66" s="3" t="inlineStr">
        <is>
          <t>Sized in sim against the spin scenario</t>
        </is>
      </c>
      <c r="J66" s="3" t="inlineStr">
        <is>
          <t>Without it the s-diff dumps torque onto the loaded outer tire near the limit and power-oversteers the car. Proven in sim.</t>
        </is>
      </c>
    </row>
    <row r="67">
      <c r="A67" s="3" t="inlineStr">
        <is>
          <t>TV proportional gain</t>
        </is>
      </c>
      <c r="B67" s="3" t="inlineStr">
        <is>
          <t>Kp</t>
        </is>
      </c>
      <c r="C67" s="3" t="inlineStr">
        <is>
          <t>KP_TV</t>
        </is>
      </c>
      <c r="D67" s="3" t="inlineStr">
        <is>
          <t>Yaw moment per rad/s of yaw-rate error.</t>
        </is>
      </c>
      <c r="E67" s="4" t="inlineStr">
        <is>
          <t>2,500</t>
        </is>
      </c>
      <c r="F67" s="3" t="inlineStr">
        <is>
          <t>N·m/(rad/s)</t>
        </is>
      </c>
      <c r="G67" s="3" t="inlineStr">
        <is>
          <t>TUNED (sim)</t>
        </is>
      </c>
      <c r="H67" s="3" t="inlineStr">
        <is>
          <t>—</t>
        </is>
      </c>
      <c r="I67" s="3" t="inlineStr">
        <is>
          <t>Re-tune in sim</t>
        </is>
      </c>
      <c r="J67" s="3" t="inlineStr">
        <is>
          <t>How hard TV chases the yaw reference.</t>
        </is>
      </c>
    </row>
    <row r="68">
      <c r="A68" s="3" t="inlineStr">
        <is>
          <t>TV integral gain</t>
        </is>
      </c>
      <c r="B68" s="3" t="inlineStr">
        <is>
          <t>Ki</t>
        </is>
      </c>
      <c r="C68" s="3" t="inlineStr">
        <is>
          <t>KI_TV</t>
        </is>
      </c>
      <c r="D68" s="3" t="inlineStr">
        <is>
          <t>Yaw moment per accumulated rad of error.</t>
        </is>
      </c>
      <c r="E68" s="4" t="inlineStr">
        <is>
          <t>1,000</t>
        </is>
      </c>
      <c r="F68" s="3" t="inlineStr">
        <is>
          <t>N·m/rad</t>
        </is>
      </c>
      <c r="G68" s="3" t="inlineStr">
        <is>
          <t>TUNED (sim)</t>
        </is>
      </c>
      <c r="H68" s="3" t="inlineStr">
        <is>
          <t>—</t>
        </is>
      </c>
      <c r="I68" s="3" t="inlineStr">
        <is>
          <t>Same</t>
        </is>
      </c>
      <c r="J68" s="3" t="inlineStr">
        <is>
          <t>Steady-state yaw accuracy in long corners.</t>
        </is>
      </c>
    </row>
    <row r="69">
      <c r="A69" s="3" t="inlineStr">
        <is>
          <t>TV integral clamp</t>
        </is>
      </c>
      <c r="B69" s="3" t="inlineStr">
        <is>
          <t>—</t>
        </is>
      </c>
      <c r="C69" s="3" t="inlineStr">
        <is>
          <t>I_TV_MAX</t>
        </is>
      </c>
      <c r="D69" s="3" t="inlineStr">
        <is>
          <t>Anti-windup limit on the TV integral.</t>
        </is>
      </c>
      <c r="E69" s="4" t="inlineStr">
        <is>
          <t>200</t>
        </is>
      </c>
      <c r="F69" s="3" t="inlineStr">
        <is>
          <t>N·m</t>
        </is>
      </c>
      <c r="G69" s="3" t="inlineStr">
        <is>
          <t>TUNED (sim)</t>
        </is>
      </c>
      <c r="H69" s="3" t="inlineStr">
        <is>
          <t>—</t>
        </is>
      </c>
      <c r="I69" s="3" t="inlineStr">
        <is>
          <t>Same</t>
        </is>
      </c>
      <c r="J69" s="3" t="inlineStr">
        <is>
          <t>Bounds windup when the reference is unreachable (e.g. full lock at speed).</t>
        </is>
      </c>
    </row>
    <row r="70">
      <c r="A70" s="3" t="inlineStr">
        <is>
          <t>Yaw-moment clamp</t>
        </is>
      </c>
      <c r="B70" s="3" t="inlineStr">
        <is>
          <t>Mz_max</t>
        </is>
      </c>
      <c r="C70" s="3" t="inlineStr">
        <is>
          <t>MZ_MAX</t>
        </is>
      </c>
      <c r="D70" s="3" t="inlineStr">
        <is>
          <t>Cap on total commanded yaw moment.</t>
        </is>
      </c>
      <c r="E70" s="4" t="inlineStr">
        <is>
          <t>600</t>
        </is>
      </c>
      <c r="F70" s="3" t="inlineStr">
        <is>
          <t>N·m</t>
        </is>
      </c>
      <c r="G70" s="3" t="inlineStr">
        <is>
          <t>TUNED (sim)</t>
        </is>
      </c>
      <c r="H70" s="3" t="inlineStr">
        <is>
          <t>—</t>
        </is>
      </c>
      <c r="I70" s="3" t="inlineStr">
        <is>
          <t>Same</t>
        </is>
      </c>
      <c r="J70" s="3" t="inlineStr">
        <is>
          <t>Keeps TV authority bounded.</t>
        </is>
      </c>
    </row>
    <row r="71">
      <c r="A71" s="3" t="inlineStr">
        <is>
          <t>Reference aggressiveness</t>
        </is>
      </c>
      <c r="B71" s="3" t="inlineStr">
        <is>
          <t>—</t>
        </is>
      </c>
      <c r="C71" s="3" t="inlineStr">
        <is>
          <t>AY_FRAC</t>
        </is>
      </c>
      <c r="D71" s="3" t="inlineStr">
        <is>
          <t>The yaw-rate reference is capped at this fraction of friction-limited lateral accel.</t>
        </is>
      </c>
      <c r="E71" s="4" t="inlineStr">
        <is>
          <t>0.95</t>
        </is>
      </c>
      <c r="F71" s="3" t="inlineStr">
        <is>
          <t>0–1</t>
        </is>
      </c>
      <c r="G71" s="3" t="inlineStr">
        <is>
          <t>TUNED (sim)</t>
        </is>
      </c>
      <c r="H71" s="3" t="inlineStr">
        <is>
          <t>—</t>
        </is>
      </c>
      <c r="I71" s="3" t="inlineStr">
        <is>
          <t>Same</t>
        </is>
      </c>
      <c r="J71" s="3" t="inlineStr">
        <is>
          <t>0.95 = ask for 95% of what grip allows — margin against an optimistic reference.</t>
        </is>
      </c>
    </row>
    <row r="72">
      <c r="A72" s="2" t="inlineStr">
        <is>
          <t>NUMERICAL</t>
        </is>
      </c>
    </row>
    <row r="73">
      <c r="A73" s="3" t="inlineStr">
        <is>
          <t>Low-speed guard</t>
        </is>
      </c>
      <c r="B73" s="3" t="inlineStr">
        <is>
          <t>v_ε</t>
        </is>
      </c>
      <c r="C73" s="3" t="inlineStr">
        <is>
          <t>V_EPS</t>
        </is>
      </c>
      <c r="D73" s="3" t="inlineStr">
        <is>
          <t>Minimum speed used in slip-angle/slip-ratio denominators.</t>
        </is>
      </c>
      <c r="E73" s="4" t="inlineStr">
        <is>
          <t>0.5</t>
        </is>
      </c>
      <c r="F73" s="3" t="inlineStr">
        <is>
          <t>m/s</t>
        </is>
      </c>
      <c r="G73" s="3" t="inlineStr">
        <is>
          <t>NUMERICAL GUARD</t>
        </is>
      </c>
      <c r="H73" s="3" t="inlineStr">
        <is>
          <t>—</t>
        </is>
      </c>
      <c r="I73" s="3" t="inlineStr">
        <is>
          <t>—</t>
        </is>
      </c>
      <c r="J73" s="3" t="inlineStr">
        <is>
          <t>Below ~0.5 m/s wheel-slip math is untrustworthy — launches are out of scope until reworked.</t>
        </is>
      </c>
    </row>
    <row r="75">
      <c r="A75" s="8" t="inlineStr">
        <is>
          <t>Legend:</t>
        </is>
      </c>
      <c r="B75" s="9" t="inlineStr">
        <is>
          <t>GREEN value = confirmed for the CURRENT car/driver (or MEASURED). Black = report car, guess, rules, or sim-tuned. Orange status = placeholder/needs attention.</t>
        </is>
      </c>
    </row>
  </sheetData>
  <autoFilter ref="A1:J1"/>
  <mergeCells count="12">
    <mergeCell ref="A47:J47"/>
    <mergeCell ref="A5:J5"/>
    <mergeCell ref="A32:J32"/>
    <mergeCell ref="A8:J8"/>
    <mergeCell ref="A62:J62"/>
    <mergeCell ref="A34:J34"/>
    <mergeCell ref="A15:J15"/>
    <mergeCell ref="B75:J75"/>
    <mergeCell ref="A2:J2"/>
    <mergeCell ref="A72:J72"/>
    <mergeCell ref="A25:J25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The signal TV controls. Its sensor is the one non-negotiable hardware item for TV.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yaw reference and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 TV holding yaw while β grows to 22° = a drift (found in run 007).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The quantity TV commands. 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Yaw-rate reference</t>
        </is>
      </c>
      <c r="B14" s="3" t="inlineStr">
        <is>
          <t>r_ref</t>
        </is>
      </c>
      <c r="C14" s="3" t="inlineStr">
        <is>
          <t>controllers.py</t>
        </is>
      </c>
      <c r="D14" s="3" t="inlineStr">
        <is>
          <t>What the driver's inputs IMPLY they want: bicycle model of steer + speed, capped by friction.</t>
        </is>
      </c>
      <c r="E14" s="3" t="inlineStr">
        <is>
          <t>r_ref = vx·δ/(L + K_us·vx²), |r_ref·vx| ≤ 0.95·µ·g_effective</t>
        </is>
      </c>
      <c r="F14" s="3" t="inlineStr">
        <is>
          <t>Computed in the VCU from steering sensor + speed estimate</t>
        </is>
      </c>
      <c r="G14" s="3" t="inlineStr">
        <is>
          <t>TV steers the car toward this. Known gap: it has no sideslip term — at full lock it will happily command a drift.</t>
        </is>
      </c>
    </row>
    <row r="15">
      <c r="A15" s="3" t="inlineStr">
        <is>
          <t>Torque split</t>
        </is>
      </c>
      <c r="B15" s="3" t="inlineStr">
        <is>
          <t>ΔT</t>
        </is>
      </c>
      <c r="C15" s="3" t="inlineStr">
        <is>
          <t>controllers.py</t>
        </is>
      </c>
      <c r="D15" s="3" t="inlineStr">
        <is>
          <t>The left/right torque difference: ΔT = ΔT_sdiff + ΔT_tv, then limits applied.</t>
        </is>
      </c>
      <c r="E15" s="3" t="inlineStr">
        <is>
          <t>Controller output every update</t>
        </is>
      </c>
      <c r="F15" s="3" t="inlineStr">
        <is>
          <t>Commanded over CAN to the AMK inverters; they report actual torque back</t>
        </is>
      </c>
      <c r="G15" s="3" t="inlineStr">
        <is>
          <t>The single actuator this whole project exists to command.</t>
        </is>
      </c>
    </row>
    <row r="16">
      <c r="A16" s="3" t="inlineStr">
        <is>
          <t>Wheel torques</t>
        </is>
      </c>
      <c r="B16" s="3" t="inlineStr">
        <is>
          <t>T_RL, T_RR</t>
        </is>
      </c>
      <c r="C16" s="3" t="inlineStr">
        <is>
          <t>controllers.py output</t>
        </is>
      </c>
      <c r="D16" s="3" t="inlineStr">
        <is>
          <t>Final per-wheel torque commands after every limit (peak, regen, power caps).</t>
        </is>
      </c>
      <c r="E16" s="3" t="inlineStr">
        <is>
          <t>Base ± ΔT/2, then the limits chain</t>
        </is>
      </c>
      <c r="F16" s="3" t="inlineStr">
        <is>
          <t>AMK inverters accept torque setpoints and report actuals over CAN</t>
        </is>
      </c>
      <c r="G16" s="3" t="inlineStr">
        <is>
          <t>What actually gets sent. The limits chain can silently shrink ΔT at high speed — log requested vs delivered on the car.</t>
        </is>
      </c>
    </row>
    <row r="17">
      <c r="A17" s="3" t="inlineStr">
        <is>
          <t>Total drive power</t>
        </is>
      </c>
      <c r="B17" s="3" t="inlineStr">
        <is>
          <t>P</t>
        </is>
      </c>
      <c r="C17" s="3" t="inlineStr">
        <is>
          <t>logged</t>
        </is>
      </c>
      <c r="D17" s="3" t="inlineStr">
        <is>
          <t>Mechanical power at the wheels: T_RL·ω_RL + T_RR·ω_RR.</t>
        </is>
      </c>
      <c r="E17" s="3" t="inlineStr">
        <is>
          <t>Computed from torques × speeds</t>
        </is>
      </c>
      <c r="F17" s="3" t="inlineStr">
        <is>
          <t>Rules energy meter measures the electrical version at the accumulator</t>
        </is>
      </c>
      <c r="G17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 THE test for tuning TV gains (Kp = response speed, Ki = steady error).</t>
        </is>
      </c>
      <c r="D2" s="3" t="inlineStr">
        <is>
          <t>Straight running, then a fast (~0.1 s) ramp to a fixed steer angle, held to the end.</t>
        </is>
      </c>
      <c r="E2" s="3" t="inlineStr">
        <is>
          <t>Steady-state yaw rate ON the reference → yaw RMSE (run 015: TV 0.011 vs open 0.034 rad/s = 3× precision). NO overshoot/oscillation in the yaw trace (oscillation = gains too hot). Sideslip β &lt; ~1°.</t>
        </is>
      </c>
      <c r="F2" s="3" t="inlineStr">
        <is>
          <t>TV configs must win yaw RMSE; 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Yaw RMSE through reversals; β bounded and symmetric; amplitude NOT growing cycle to cycle (growth = impending spin — exactly how open &amp; s-diff-only died at full lock); Δω flips sign cleanly each reversal.</t>
        </is>
      </c>
      <c r="F4" s="3" t="inlineStr">
        <is>
          <t>TV configs track through reversals; 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 (at 40 mph the friction cap saturates the yaw reference at ~5°).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 (TV yes / open &amp; s-diff-only spin). Found the TV-drifts-when-saturated design gap (FINDINGS 8-bis).</t>
        </is>
      </c>
      <c r="F6" s="3" t="inlineStr">
        <is>
          <t>TV configs survive; 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2026-08-31T19:05:26Z</dcterms:created>
  <dcterms:modified xsi:type="dcterms:W3CDTF">2026-08-31T19:05:26Z</dcterms:modified>
</cp:coreProperties>
</file>