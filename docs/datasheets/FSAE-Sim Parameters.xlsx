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 parameters" sheetId="1" state="visible" r:id="rId1"/>
    <sheet name="Sim signals" sheetId="2" state="visible" r:id="rId2"/>
    <sheet name="Tests" sheetId="3" state="visible" r:id="rId3"/>
  </sheets>
  <definedNames>
    <definedName name="_xlnm._FilterDatabase" localSheetId="0" hidden="1">'Car parameters'!$A$1:$J$1</definedName>
    <definedName name="_xlnm._FilterDatabase" localSheetId="1" hidden="1">'Sim signals'!$A$1:$G$1</definedName>
    <definedName name="_xlnm._FilterDatabase" localSheetId="2" hidden="1">'Tests'!$A$1:$F$1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A1A1A"/>
      <sz val="10.5"/>
    </font>
    <font>
      <color rgb="FF1A1A1A"/>
      <sz val="10"/>
    </font>
    <font>
      <color rgb="FF1A1A1A"/>
    </font>
    <font>
      <b val="1"/>
      <color rgb="FF1A7A1A"/>
    </font>
    <font>
      <color rgb="FF1A7A1A"/>
      <sz val="10"/>
    </font>
    <font>
      <color rgb="FF9A6A00"/>
      <sz val="10"/>
    </font>
    <font>
      <b val="1"/>
    </font>
    <font>
      <b val="1"/>
      <color rgb="FF1A7A1A"/>
      <sz val="10"/>
    </font>
  </fonts>
  <fills count="4">
    <fill>
      <patternFill/>
    </fill>
    <fill>
      <patternFill patternType="gray125"/>
    </fill>
    <fill>
      <patternFill patternType="solid">
        <fgColor rgb="FF223038"/>
      </patternFill>
    </fill>
    <fill>
      <patternFill patternType="solid">
        <fgColor rgb="FFE8EAE4"/>
      </patternFill>
    </fill>
  </fills>
  <borders count="2">
    <border>
      <left/>
      <right/>
      <top/>
      <bottom/>
      <diagonal/>
    </border>
    <border>
      <left style="thin">
        <color rgb="FFD9DBD4"/>
      </left>
      <right style="thin">
        <color rgb="FFD9DBD4"/>
      </right>
      <top style="thin">
        <color rgb="FFD9DBD4"/>
      </top>
      <bottom style="thin">
        <color rgb="FFD9DB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3" fillId="0" borderId="0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0" customWidth="1" min="3" max="3"/>
    <col width="46" customWidth="1" min="4" max="4"/>
    <col width="13" customWidth="1" min="5" max="5"/>
    <col width="16" customWidth="1" min="6" max="6"/>
    <col width="34" customWidth="1" min="7" max="7"/>
    <col width="30" customWidth="1" min="8" max="8"/>
    <col width="38" customWidth="1" min="9" max="9"/>
    <col width="48" customWidth="1" min="10" max="10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Name in the code</t>
        </is>
      </c>
      <c r="D1" s="1" t="inlineStr">
        <is>
          <t>What it is / what it simulates</t>
        </is>
      </c>
      <c r="E1" s="1" t="inlineStr">
        <is>
          <t>Value now</t>
        </is>
      </c>
      <c r="F1" s="1" t="inlineStr">
        <is>
          <t>Units</t>
        </is>
      </c>
      <c r="G1" s="1" t="inlineStr">
        <is>
          <t>Status (where the number comes from)</t>
        </is>
      </c>
      <c r="H1" s="1" t="inlineStr">
        <is>
          <t>What we measure</t>
        </is>
      </c>
      <c r="I1" s="1" t="inlineStr">
        <is>
          <t>How we measure it</t>
        </is>
      </c>
      <c r="J1" s="1" t="inlineStr">
        <is>
          <t>Why it matters</t>
        </is>
      </c>
    </row>
    <row r="2">
      <c r="A2" s="2" t="inlineStr">
        <is>
          <t>ENVIRONMENT</t>
        </is>
      </c>
    </row>
    <row r="3">
      <c r="A3" s="3" t="inlineStr">
        <is>
          <t>Gravity</t>
        </is>
      </c>
      <c r="B3" s="3" t="inlineStr">
        <is>
          <t>g</t>
        </is>
      </c>
      <c r="C3" s="3" t="inlineStr">
        <is>
          <t>environment.g</t>
        </is>
      </c>
      <c r="D3" s="3" t="inlineStr">
        <is>
          <t>Standard gravitational acceleration — sets every weight and load.</t>
        </is>
      </c>
      <c r="E3" s="4" t="inlineStr">
        <is>
          <t>9.81</t>
        </is>
      </c>
      <c r="F3" s="3" t="inlineStr">
        <is>
          <t>m/s^2</t>
        </is>
      </c>
      <c r="G3" s="3" t="inlineStr">
        <is>
          <t>CONSTANT (physical)</t>
        </is>
      </c>
      <c r="H3" s="3" t="inlineStr">
        <is>
          <t>Nothing</t>
        </is>
      </c>
      <c r="I3" s="3" t="inlineStr">
        <is>
          <t>Physical constant</t>
        </is>
      </c>
      <c r="J3" s="3" t="inlineStr">
        <is>
          <t>Everything vertical scales from it.</t>
        </is>
      </c>
    </row>
    <row r="4">
      <c r="A4" s="3" t="inlineStr">
        <is>
          <t>Air density</t>
        </is>
      </c>
      <c r="B4" s="3" t="inlineStr">
        <is>
          <t>rho</t>
        </is>
      </c>
      <c r="C4" s="3" t="inlineStr">
        <is>
          <t>environment.rho_air</t>
        </is>
      </c>
      <c r="D4" s="3" t="inlineStr">
        <is>
          <t>Density of the air the car drives through — sets downforce and drag.</t>
        </is>
      </c>
      <c r="E4" s="4" t="inlineStr">
        <is>
          <t>1.204</t>
        </is>
      </c>
      <c r="F4" s="3" t="inlineStr">
        <is>
          <t>kg/m^3</t>
        </is>
      </c>
      <c r="G4" s="3" t="inlineStr">
        <is>
          <t>FROM REPORT</t>
        </is>
      </c>
      <c r="H4" s="3" t="inlineStr">
        <is>
          <t>Ambient conditions on event days (optional refinement)</t>
        </is>
      </c>
      <c r="I4" s="3" t="inlineStr">
        <is>
          <t>Weather data / altitude correction</t>
        </is>
      </c>
      <c r="J4" s="3" t="inlineStr">
        <is>
          <t>Downforce and drag are 0.5*rho*(coeff*A)*v^2 — 5% density = 5% aero.</t>
        </is>
      </c>
    </row>
    <row r="5">
      <c r="A5" s="2" t="inlineStr">
        <is>
          <t>MASS</t>
        </is>
      </c>
    </row>
    <row r="6">
      <c r="A6" s="3" t="inlineStr">
        <is>
          <t>Car mass, no driver</t>
        </is>
      </c>
      <c r="B6" s="3" t="inlineStr">
        <is>
          <t>m_car</t>
        </is>
      </c>
      <c r="C6" s="3" t="inlineStr">
        <is>
          <t>mass.car_no_driver</t>
        </is>
      </c>
      <c r="D6" s="3" t="inlineStr">
        <is>
          <t>Complete ready-to-run vehicle, nobody in the seat.</t>
        </is>
      </c>
      <c r="E6" s="5" t="inlineStr">
        <is>
          <t>181.5</t>
        </is>
      </c>
      <c r="F6" s="3" t="inlineStr">
        <is>
          <t>kg (weighed as 400.1 lb)</t>
        </is>
      </c>
      <c r="G6" s="6" t="inlineStr">
        <is>
          <t>MEASURED 2026-08-31 (corner scales)</t>
        </is>
      </c>
      <c r="H6" s="3" t="inlineStr">
        <is>
          <t>Total car weight</t>
        </is>
      </c>
      <c r="I6" s="3" t="inlineStr">
        <is>
          <t>Corner scales (E-Z Weight Intercomp SW500), no driver: LF 87.5 lb, RF 86.3 lb (front pair 173.8 lb = 43.44%); LR 114.8 lb, RR 111.5 lb (rear pair 226.3 lb); total 400.1 lb, left 50.56%, cross (RF+LR) 50.26%. Left/right is 0.56% asymmetric (~1 kg heavier left) — the sim assumes perfect L/R symmetry; at that size the error is noise. Cross weight is a setup number this sim does not use; recorded for the suspension crew.</t>
        </is>
      </c>
      <c r="J6" s="3" t="inlineStr">
        <is>
          <t>With driver mass it sets EVERY inertial and grip force in the sim.</t>
        </is>
      </c>
    </row>
    <row r="7">
      <c r="A7" s="3" t="inlineStr">
        <is>
          <t>Driver mass</t>
        </is>
      </c>
      <c r="B7" s="3" t="inlineStr">
        <is>
          <t>m_driver</t>
        </is>
      </c>
      <c r="C7" s="3" t="inlineStr">
        <is>
          <t>mass.driver</t>
        </is>
      </c>
      <c r="D7" s="3" t="inlineStr">
        <is>
          <t>Driver in full gear (suit, helmet, shoes). Convention: use the HEAVIEST regular driver for conservative tuning.</t>
        </is>
      </c>
      <c r="E7" s="5" t="inlineStr">
        <is>
          <t>70.76</t>
        </is>
      </c>
      <c r="F7" s="3" t="inlineStr">
        <is>
          <t>kg (entered as 156 lb)</t>
        </is>
      </c>
      <c r="G7" s="6" t="inlineStr">
        <is>
          <t>CURRENT CAR (team)</t>
        </is>
      </c>
      <c r="H7" s="3" t="inlineStr">
        <is>
          <t>Suited driver weight</t>
        </is>
      </c>
      <c r="I7" s="3" t="inlineStr">
        <is>
          <t>Bathroom scale, fully suited</t>
        </is>
      </c>
      <c r="J7" s="3" t="inlineStr">
        <is>
          <t>The car never runs without one. Confirm 156 lb is the heaviest driver and includes gear (~5-8 lb).</t>
        </is>
      </c>
    </row>
    <row r="8">
      <c r="A8" s="3" t="inlineStr">
        <is>
          <t>Total mass (computed)</t>
        </is>
      </c>
      <c r="B8" s="3" t="inlineStr">
        <is>
          <t>m_total</t>
        </is>
      </c>
      <c r="C8" s="3" t="inlineStr">
        <is>
          <t>mass.total</t>
        </is>
      </c>
      <c r="D8" s="3" t="inlineStr">
        <is>
          <t>Total vehicle mass with the driver seated.</t>
        </is>
      </c>
      <c r="E8" s="4" t="inlineStr">
        <is>
          <t>252.2</t>
        </is>
      </c>
      <c r="F8" s="3" t="inlineStr">
        <is>
          <t>kg</t>
        </is>
      </c>
      <c r="G8" s="3" t="inlineStr">
        <is>
          <t>DERIVED (car + driver, never entered directly)</t>
        </is>
      </c>
      <c r="H8" s="3" t="inlineStr">
        <is>
          <t>—</t>
        </is>
      </c>
      <c r="I8" s="3">
        <f> mass.car_no_driver + mass.driver</f>
        <v/>
      </c>
      <c r="J8" s="3" t="inlineStr">
        <is>
          <t>The mass every inertial term in the equations of motion uses.</t>
        </is>
      </c>
    </row>
    <row r="9">
      <c r="A9" s="2" t="inlineStr">
        <is>
          <t>GEOMETRY &amp; CG</t>
        </is>
      </c>
    </row>
    <row r="10">
      <c r="A10" s="3" t="inlineStr">
        <is>
          <t>Wheelbase</t>
        </is>
      </c>
      <c r="B10" s="3" t="inlineStr">
        <is>
          <t>L</t>
        </is>
      </c>
      <c r="C10" s="3" t="inlineStr">
        <is>
          <t>geometry.wheelbase</t>
        </is>
      </c>
      <c r="D10" s="3" t="inlineStr">
        <is>
          <t>Front-axle to rear-axle centerline distance.</t>
        </is>
      </c>
      <c r="E10" s="4" t="inlineStr">
        <is>
          <t>1.52</t>
        </is>
      </c>
      <c r="F10" s="3" t="inlineStr">
        <is>
          <t>m</t>
        </is>
      </c>
      <c r="G10" s="3" t="inlineStr">
        <is>
          <t>FROM REPORT (2023 car)</t>
        </is>
      </c>
      <c r="H10" s="3" t="inlineStr">
        <is>
          <t>Axle-center to axle-center distance</t>
        </is>
      </c>
      <c r="I10" s="3" t="inlineStr">
        <is>
          <t>Tape measure / CAD</t>
        </is>
      </c>
      <c r="J10" s="3" t="inlineStr">
        <is>
          <t>Sets yaw geometry, the bicycle-model reference, and CG position math.</t>
        </is>
      </c>
    </row>
    <row r="11">
      <c r="A11" s="3" t="inlineStr">
        <is>
          <t>Front track</t>
        </is>
      </c>
      <c r="B11" s="3" t="inlineStr">
        <is>
          <t>t_f</t>
        </is>
      </c>
      <c r="C11" s="3" t="inlineStr">
        <is>
          <t>geometry.track_front</t>
        </is>
      </c>
      <c r="D11" s="3" t="inlineStr">
        <is>
          <t>Front track width — distance between the CENTERS of the two front tire contact patches (NOT outside-to-outside of the tires).</t>
        </is>
      </c>
      <c r="E11" s="4" t="inlineStr">
        <is>
          <t>1.34</t>
        </is>
      </c>
      <c r="F11" s="3" t="inlineStr">
        <is>
          <t>m</t>
        </is>
      </c>
      <c r="G11" s="3" t="inlineStr">
        <is>
          <t>FROM REPORT</t>
        </is>
      </c>
      <c r="H11" s="3" t="inlineStr">
        <is>
          <t>Center-of-tire to center-of-tire, front</t>
        </is>
      </c>
      <c r="I11" s="3" t="inlineStr">
        <is>
          <t>Tape measure / CAD</t>
        </is>
      </c>
      <c r="J11" s="3" t="inlineStr">
        <is>
          <t>Lever arm for front lateral load transfer.</t>
        </is>
      </c>
    </row>
    <row r="12">
      <c r="A12" s="3" t="inlineStr">
        <is>
          <t>Rear track</t>
        </is>
      </c>
      <c r="B12" s="3" t="inlineStr">
        <is>
          <t>t_r</t>
        </is>
      </c>
      <c r="C12" s="3" t="inlineStr">
        <is>
          <t>geometry.track_rear</t>
        </is>
      </c>
      <c r="D12" s="3" t="inlineStr">
        <is>
          <t>Rear track width, same definition as front.</t>
        </is>
      </c>
      <c r="E12" s="4" t="inlineStr">
        <is>
          <t>1.34</t>
        </is>
      </c>
      <c r="F12" s="3" t="inlineStr">
        <is>
          <t>m</t>
        </is>
      </c>
      <c r="G12" s="3" t="inlineStr">
        <is>
          <t>FROM REPORT</t>
        </is>
      </c>
      <c r="H12" s="3" t="inlineStr">
        <is>
          <t>Center-of-tire to center-of-tire, rear</t>
        </is>
      </c>
      <c r="I12" s="3" t="inlineStr">
        <is>
          <t>Tape measure / CAD</t>
        </is>
      </c>
      <c r="J12" s="3" t="inlineStr">
        <is>
          <t>THE torque-vectoring lever arm: Mz = (t_r/2)*dFx. Bigger track = more yaw per N*m of split.</t>
        </is>
      </c>
    </row>
    <row r="13">
      <c r="A13" s="3" t="inlineStr">
        <is>
          <t>Front weight fraction</t>
        </is>
      </c>
      <c r="B13" s="3" t="inlineStr">
        <is>
          <t>pct_front</t>
        </is>
      </c>
      <c r="C13" s="3" t="inlineStr">
        <is>
          <t>geometry.weight_fraction_front</t>
        </is>
      </c>
      <c r="D13" s="3" t="inlineStr">
        <is>
          <t>Static front weight fraction = front axle weight / total weight. By statics this equals (CG-to-REAR-axle distance)/wheelbase.</t>
        </is>
      </c>
      <c r="E13" s="5" t="inlineStr">
        <is>
          <t>0.4344</t>
        </is>
      </c>
      <c r="F13" s="3" t="inlineStr">
        <is>
          <t>0-1</t>
        </is>
      </c>
      <c r="G13" s="6" t="inlineStr">
        <is>
          <t>MEASURED 2026-08-31 (scales, NO driver — redo seated)</t>
        </is>
      </c>
      <c r="H13" s="3" t="inlineStr">
        <is>
          <t>Front axle share WITH DRIVER SEATED (expect ~1-2% lower than the 43.44% car-only number, so roughly 41.5-43%)</t>
        </is>
      </c>
      <c r="I13" s="3" t="inlineStr">
        <is>
          <t>Repeat the corner-scale session with the driver in the seat</t>
        </is>
      </c>
      <c r="J13" s="3" t="inlineStr">
        <is>
          <t>Decides how much grip each axle owns — understeer/oversteer balance starts here.</t>
        </is>
      </c>
    </row>
    <row r="14">
      <c r="A14" s="3" t="inlineStr">
        <is>
          <t>CG height</t>
        </is>
      </c>
      <c r="B14" s="3" t="inlineStr">
        <is>
          <t>h</t>
        </is>
      </c>
      <c r="C14" s="3" t="inlineStr">
        <is>
          <t>geometry.h_cg</t>
        </is>
      </c>
      <c r="D14" s="3" t="inlineStr">
        <is>
          <t>Height of the center of gravity above the ground.</t>
        </is>
      </c>
      <c r="E14" s="4" t="inlineStr">
        <is>
          <t>0.23</t>
        </is>
      </c>
      <c r="F14" s="3" t="inlineStr">
        <is>
          <t>m</t>
        </is>
      </c>
      <c r="G14" s="3" t="inlineStr">
        <is>
          <t>FROM REPORT</t>
        </is>
      </c>
      <c r="H14" s="3" t="inlineStr">
        <is>
          <t>CG height</t>
        </is>
      </c>
      <c r="I14" s="3" t="inlineStr">
        <is>
          <t>Tilt test (weigh one axle while lifting the other) or CAD</t>
        </is>
      </c>
      <c r="J14" s="3" t="inlineStr">
        <is>
          <t>Drives ALL load transfer — every grip shift in braking, accel and cornering is proportional to h.</t>
        </is>
      </c>
    </row>
    <row r="15">
      <c r="A15" s="3" t="inlineStr">
        <is>
          <t>Yaw inertia</t>
        </is>
      </c>
      <c r="B15" s="3" t="inlineStr">
        <is>
          <t>I_z</t>
        </is>
      </c>
      <c r="C15" s="3" t="inlineStr">
        <is>
          <t>geometry.I_z</t>
        </is>
      </c>
      <c r="D15" s="3" t="inlineStr">
        <is>
          <t>Yaw moment of inertia of the whole vehicle about the vertical axis through the CG. Sets how fast yaw rate responds to the TV yaw moment.</t>
        </is>
      </c>
      <c r="E15" s="4" t="inlineStr">
        <is>
          <t>70.38</t>
        </is>
      </c>
      <c r="F15" s="3" t="inlineStr">
        <is>
          <t>kg*m^2</t>
        </is>
      </c>
      <c r="G15" s="3" t="inlineStr">
        <is>
          <t>FROM REPORT</t>
        </is>
      </c>
      <c r="H15" s="3" t="inlineStr">
        <is>
          <t>Yaw moment of inertia</t>
        </is>
      </c>
      <c r="I15" s="3" t="inlineStr">
        <is>
          <t>CAD mass model (practical) or trifilar pendulum test</t>
        </is>
      </c>
      <c r="J15" s="3" t="inlineStr">
        <is>
          <t>Directly in Iz*rdot = sum(Mz) — how fast the car answers a yaw moment.</t>
        </is>
      </c>
    </row>
    <row r="16">
      <c r="A16" s="2" t="inlineStr">
        <is>
          <t>WHEELS &amp; DRIVETRAIN</t>
        </is>
      </c>
    </row>
    <row r="17">
      <c r="A17" s="3" t="inlineStr">
        <is>
          <t>Tire outer diameter</t>
        </is>
      </c>
      <c r="B17" s="3" t="inlineStr">
        <is>
          <t>d_w</t>
        </is>
      </c>
      <c r="C17" s="3" t="inlineStr">
        <is>
          <t>drivetrain.tire_outer_diameter</t>
        </is>
      </c>
      <c r="D17" s="3" t="inlineStr">
        <is>
          <t>Outer diameter of the fitted tire. wheel_radius is derived from it.</t>
        </is>
      </c>
      <c r="E17" s="5" t="inlineStr">
        <is>
          <t>0.4572</t>
        </is>
      </c>
      <c r="F17" s="3" t="inlineStr">
        <is>
          <t>m (18 in OD)</t>
        </is>
      </c>
      <c r="G17" s="6" t="inlineStr">
        <is>
          <t>CURRENT CAR (18in tire OD, 10in rim)</t>
        </is>
      </c>
      <c r="H17" s="3" t="inlineStr">
        <is>
          <t>Confirmed tire size</t>
        </is>
      </c>
      <c r="I17" s="3" t="inlineStr">
        <is>
          <t>Tire sidewall / team spec</t>
        </is>
      </c>
      <c r="J17" s="3" t="inlineStr">
        <is>
          <t>The rim size does not enter the sim — only the tire's rolling radius does.</t>
        </is>
      </c>
    </row>
    <row r="18">
      <c r="A18" s="3" t="inlineStr">
        <is>
          <t>Tire radius (loaded)</t>
        </is>
      </c>
      <c r="B18" s="3" t="inlineStr">
        <is>
          <t>r_w</t>
        </is>
      </c>
      <c r="C18" s="3" t="inlineStr">
        <is>
          <t>drivetrain.wheel_radius</t>
        </is>
      </c>
      <c r="D18" s="3" t="inlineStr">
        <is>
          <t>LOADED tire radius — ground to axle center with the car's weight on the tire.</t>
        </is>
      </c>
      <c r="E18" s="5" t="inlineStr">
        <is>
          <t>0.2286</t>
        </is>
      </c>
      <c r="F18" s="3" t="inlineStr">
        <is>
          <t>m (18 in OD / 2)</t>
        </is>
      </c>
      <c r="G18" s="6" t="inlineStr">
        <is>
          <t>CURRENT CAR</t>
        </is>
      </c>
      <c r="H18" s="3" t="inlineStr">
        <is>
          <t>Axle-center height, car on the ground</t>
        </is>
      </c>
      <c r="I18" s="3">
        <f> drivetrain.tire_outer_diameter / 2.0</f>
        <v/>
      </c>
      <c r="J18" s="3" t="inlineStr">
        <is>
          <t>Converts wheel torque to drive force (F = T/r) and wheel speed to ground speed. Loaded radius is a few mm less than free radius (tire squish) — measure axle-center height with the car on the ground to refine.</t>
        </is>
      </c>
    </row>
    <row r="19">
      <c r="A19" s="3" t="inlineStr">
        <is>
          <t>Upright planetary ratio</t>
        </is>
      </c>
      <c r="B19" s="3" t="inlineStr">
        <is>
          <t>gr</t>
        </is>
      </c>
      <c r="C19" s="3" t="inlineStr">
        <is>
          <t>drivetrain.gear_ratio</t>
        </is>
      </c>
      <c r="D19" s="3" t="inlineStr">
        <is>
          <t>Total reduction between motor shaft and wheel (motor revs per wheel rev). With one motor PER WHEEL this is the PLANETARY gear stage packaged in each upright with the motor — not a chain or gearbox.</t>
        </is>
      </c>
      <c r="E19" s="4" t="inlineStr">
        <is>
          <t>13</t>
        </is>
      </c>
      <c r="F19" s="3" t="inlineStr">
        <is>
          <t>-</t>
        </is>
      </c>
      <c r="G19" s="3" t="inlineStr">
        <is>
          <t>FROM REPORT — confirm upright planetary ratio</t>
        </is>
      </c>
      <c r="H19" s="3" t="inlineStr">
        <is>
          <t>The planetary's reduction ratio</t>
        </is>
      </c>
      <c r="I19" s="3" t="inlineStr">
        <is>
          <t>Ask powertrain / count gear teeth in CAD</t>
        </is>
      </c>
      <c r="J19" s="3" t="inlineStr">
        <is>
          <t>Wheel torque = motor torque * gr; reflected rotor inertia = rotor J * gr^2. The 21 N*m motor is useless without it — direct drive would give 92 N of drive force per wheel (0.08 g) and a 479 m/s speed match.</t>
        </is>
      </c>
    </row>
    <row r="20">
      <c r="A20" s="3" t="inlineStr">
        <is>
          <t>Motor peak torque</t>
        </is>
      </c>
      <c r="B20" s="3" t="inlineStr">
        <is>
          <t>T_pk</t>
        </is>
      </c>
      <c r="C20" s="3" t="inlineStr">
        <is>
          <t>drivetrain.motor_torque_peak</t>
        </is>
      </c>
      <c r="D20" s="3" t="inlineStr">
        <is>
          <t>Peak torque of ONE motor at its shaft (before the gear reduction).</t>
        </is>
      </c>
      <c r="E20" s="5" t="inlineStr">
        <is>
          <t>21</t>
        </is>
      </c>
      <c r="F20" s="3" t="inlineStr">
        <is>
          <t>N*m</t>
        </is>
      </c>
      <c r="G20" s="6" t="inlineStr">
        <is>
          <t>CURRENT CAR (AMK kit datasheet)</t>
        </is>
      </c>
      <c r="H20" s="3" t="inlineStr">
        <is>
          <t>Nothing (datasheet value)</t>
        </is>
      </c>
      <c r="I20" s="3" t="inlineStr">
        <is>
          <t>AMK kit manual 6.5.3 torque curve; dyno confirms someday</t>
        </is>
      </c>
      <c r="J20" s="3" t="inlineStr">
        <is>
          <t>x13 gear = 273 N*m per wheel — the ceiling every torque command lives under.</t>
        </is>
      </c>
    </row>
    <row r="21">
      <c r="A21" s="3" t="inlineStr">
        <is>
          <t>Motor torque constant</t>
        </is>
      </c>
      <c r="B21" s="3" t="inlineStr">
        <is>
          <t>Kt</t>
        </is>
      </c>
      <c r="C21" s="3" t="inlineStr">
        <is>
          <t>drivetrain.motor_kt</t>
        </is>
      </c>
      <c r="D21" s="3" t="inlineStr">
        <is>
          <t>Shaft torque per amp of motor (q-axis) current. Turns a VESC current command into torque.</t>
        </is>
      </c>
      <c r="E21" s="4" t="inlineStr">
        <is>
          <t>0.2</t>
        </is>
      </c>
      <c r="F21" s="3" t="inlineStr">
        <is>
          <t>N*m/A</t>
        </is>
      </c>
      <c r="G21" s="7" t="inlineStr">
        <is>
          <t>PLACEHOLDER — UNMEASURED; AMK-era motor numbers above may not apply to the in-hub motors</t>
        </is>
      </c>
      <c r="H21" s="3" t="inlineStr">
        <is>
          <t>The in-hub motor's Kt</t>
        </is>
      </c>
      <c r="I21" s="3" t="inlineStr">
        <is>
          <t>Motor datasheet, or once VESC status frames are parsed: measured wheel torque / (reported motor current x gear ratio). Cross-check against motor_torque_peak / peak current.</t>
        </is>
      </c>
      <c r="J21" s="3" t="inlineStr">
        <is>
          <t>The ONLY number that makes the VCU's milliamp command mean anything in the sim: T_wheel = I[A] * Kt * gear_ratio. It also sets what 100% pedal is worth (max_motor_current below), so a wrong Kt scales every run's torque.</t>
        </is>
      </c>
    </row>
    <row r="22">
      <c r="A22" s="3" t="inlineStr">
        <is>
          <t>Full-pedal motor current (firmware cap)</t>
        </is>
      </c>
      <c r="B22" s="3" t="inlineStr">
        <is>
          <t>MAX_MOTOR_CURRENT_MA</t>
        </is>
      </c>
      <c r="C22" s="3" t="inlineStr">
        <is>
          <t>drivetrain.max_motor_current</t>
        </is>
      </c>
      <c r="D22" s="3" t="inlineStr">
        <is>
          <t>Motor current the VCU commands at 100% pedal. The firmware's pedal map is linear to it.</t>
        </is>
      </c>
      <c r="E22" s="5" t="inlineStr">
        <is>
          <t>70</t>
        </is>
      </c>
      <c r="F22" s="3" t="inlineStr">
        <is>
          <t>A</t>
        </is>
      </c>
      <c r="G22" s="6" t="inlineStr">
        <is>
          <t>CURRENT CAR (powertrainControl.h MAX_MOTOR_CURRENT_MA, S-diff 5df1baf)</t>
        </is>
      </c>
      <c r="H22" s="3" t="inlineStr">
        <is>
          <t>Confirmation this is the intended full-throttle current, not a bring-up limit</t>
        </is>
      </c>
      <c r="I22" s="3" t="inlineStr">
        <is>
          <t>dev/powertrainControl.h on the SRE-VCU S-diff branch</t>
        </is>
      </c>
      <c r="J22" s="3" t="inlineStr">
        <is>
          <t>The firmware is the only controller, and it never asks for the motors' datasheet peak: 100% pedal is this current, through Kt and the gearbox. The driver adapter inverts the same map, so a maneuver's scripted torque is what the firmware actually commands. Mirrors the C #define; if the firmware changes it, change it here.</t>
        </is>
      </c>
    </row>
    <row r="23">
      <c r="A23" s="3" t="inlineStr">
        <is>
          <t>Pack voltage</t>
        </is>
      </c>
      <c r="B23" s="3" t="inlineStr">
        <is>
          <t>V_DC</t>
        </is>
      </c>
      <c r="C23" s="3" t="inlineStr">
        <is>
          <t>drivetrain.pack_voltage</t>
        </is>
      </c>
      <c r="D23" s="3" t="inlineStr">
        <is>
          <t>Accumulator (HV pack) nominal voltage.</t>
        </is>
      </c>
      <c r="E23" s="5" t="inlineStr">
        <is>
          <t>380</t>
        </is>
      </c>
      <c r="F23" s="3" t="inlineStr">
        <is>
          <t>V</t>
        </is>
      </c>
      <c r="G23" s="6" t="inlineStr">
        <is>
          <t>CURRENT CAR (design decision 2026-08-30)</t>
        </is>
      </c>
      <c r="H23" s="3" t="inlineStr">
        <is>
          <t>Nothing (design value)</t>
        </is>
      </c>
      <c r="I23" s="3" t="inlineStr">
        <is>
          <t>Accumulator design</t>
        </is>
      </c>
      <c r="J23" s="3" t="inlineStr">
        <is>
          <t>Not used directly by the physics — it SETS motor peak power below. 4 motors x 20 kW at 380 V = 80 kW, which is EXACTLY the rules cap. That leaves the cap zero headroom, so it can never bind: the per-motor power limit is the operative constraint at every speed. See power_cap_total.</t>
        </is>
      </c>
    </row>
    <row r="24">
      <c r="A24" s="3" t="inlineStr">
        <is>
          <t>Motor peak power</t>
        </is>
      </c>
      <c r="B24" s="3" t="inlineStr">
        <is>
          <t>P_pk</t>
        </is>
      </c>
      <c r="C24" s="3" t="inlineStr">
        <is>
          <t>drivetrain.motor_power_peak</t>
        </is>
      </c>
      <c r="D24" s="3" t="inlineStr">
        <is>
          <t>Peak mechanical power of ONE motor at OUR pack voltage.</t>
        </is>
      </c>
      <c r="E24" s="4" t="inlineStr">
        <is>
          <t>20,000</t>
        </is>
      </c>
      <c r="F24" s="3" t="inlineStr">
        <is>
          <t>W</t>
        </is>
      </c>
      <c r="G24" s="3" t="inlineStr">
        <is>
          <t>DERIVED (kit curves scaled to 380 V)</t>
        </is>
      </c>
      <c r="H24" s="3" t="inlineStr">
        <is>
          <t>Actual peak power at 380 V</t>
        </is>
      </c>
      <c r="I24" s="3" t="inlineStr">
        <is>
          <t>Read the 380 V curve in the AMK manual; dyno pull once the pack exists</t>
        </is>
      </c>
      <c r="J24" s="3" t="inlineStr">
        <is>
          <t>Caps torque above ~17 m/s (37 mph): at 40 mph only 256 of 273 N*m is available. Four motors top out at 80 kW — numerically identical to the rules cap, so THIS per-motor limit is what actually binds, not the cap.</t>
        </is>
      </c>
    </row>
    <row r="25">
      <c r="A25" s="3" t="inlineStr">
        <is>
          <t>Motor max speed</t>
        </is>
      </c>
      <c r="B25" s="3" t="inlineStr">
        <is>
          <t>n_max</t>
        </is>
      </c>
      <c r="C25" s="3" t="inlineStr">
        <is>
          <t>drivetrain.motor_max_speed</t>
        </is>
      </c>
      <c r="D25" s="3" t="inlineStr">
        <is>
          <t>Maximum motor shaft speed.</t>
        </is>
      </c>
      <c r="E25" s="5" t="inlineStr">
        <is>
          <t>2,094</t>
        </is>
      </c>
      <c r="F25" s="3" t="inlineStr">
        <is>
          <t>rad/s (entered as 20,000 rpm)</t>
        </is>
      </c>
      <c r="G25" s="6" t="inlineStr">
        <is>
          <t>CURRENT CAR (AMK kit datasheet)</t>
        </is>
      </c>
      <c r="H25" s="3" t="inlineStr">
        <is>
          <t>Nothing (datasheet value)</t>
        </is>
      </c>
      <c r="I25" s="3" t="inlineStr">
        <is>
          <t>AMK kit manual 6.5.3 (characteristics end at 20,000 rpm)</t>
        </is>
      </c>
      <c r="J25" s="3" t="inlineStr">
        <is>
          <t>~36 m/s (80 mph) ground speed at 13:1 — comfortably above the 40 mph envelope, not the limiter. NOT enforced by this basic sim; recorded for completeness and future top-speed studies.</t>
        </is>
      </c>
    </row>
    <row r="26">
      <c r="A26" s="3" t="inlineStr">
        <is>
          <t>Wheel spin inertia, rear corner</t>
        </is>
      </c>
      <c r="B26" s="3" t="inlineStr">
        <is>
          <t>I_w,r</t>
        </is>
      </c>
      <c r="C26" s="3" t="inlineStr">
        <is>
          <t>drivetrain.I_wheel_rear</t>
        </is>
      </c>
      <c r="D26" s="3" t="inlineStr">
        <is>
          <t>Spin inertia of ONE REAR corner about the axle: tire + rim + brake rotor + hub + (motor rotor inertia * gear_ratio^2).</t>
        </is>
      </c>
      <c r="E26" s="4" t="inlineStr">
        <is>
          <t>0.35</t>
        </is>
      </c>
      <c r="F26" s="3" t="inlineStr">
        <is>
          <t>kg*m^2</t>
        </is>
      </c>
      <c r="G26" s="3" t="inlineStr">
        <is>
          <t>DERIVED estimate — replace with CAD</t>
        </is>
      </c>
      <c r="H26" s="3" t="inlineStr">
        <is>
          <t>Rotating inertia of one rear corner</t>
        </is>
      </c>
      <c r="I26" s="3" t="inlineStr">
        <is>
          <t>CAD mass properties + rotor J from the exact AMK motor sheet</t>
        </is>
      </c>
      <c r="J26" s="3" t="inlineStr">
        <is>
          <t>Sets how fast an unloaded wheel spins up — the s-diff's whole problem. Controller gains are sensitive to it: retune when it changes. Together with I_wheel_front it also sets the effective mass the car must accelerate, which verify.py D1 measures against a closed-form coast-down.</t>
        </is>
      </c>
    </row>
    <row r="27">
      <c r="A27" s="3" t="inlineStr">
        <is>
          <t>Wheel spin inertia, front corner</t>
        </is>
      </c>
      <c r="B27" s="3" t="inlineStr">
        <is>
          <t>I_w,f</t>
        </is>
      </c>
      <c r="C27" s="3" t="inlineStr">
        <is>
          <t>drivetrain.I_wheel_front</t>
        </is>
      </c>
      <c r="D27" s="3" t="inlineStr">
        <is>
          <t>Spin inertia of ONE FRONT corner about the axle. Same construction as the rear — same tire, same rim, same in-upright motor and planetary, same brake rotor — so the same number, written as a formula so the ASSUMPTION is visible in the data rather than buried in code.</t>
        </is>
      </c>
      <c r="E27" s="4" t="inlineStr">
        <is>
          <t>0.35</t>
        </is>
      </c>
      <c r="F27" s="3" t="inlineStr">
        <is>
          <t>kg*m^2</t>
        </is>
      </c>
      <c r="G27" s="3" t="inlineStr">
        <is>
          <t>DERIVED — front corner ASSUMED identical to rear; replace when CAD says otherwise</t>
        </is>
      </c>
      <c r="H27" s="3" t="inlineStr">
        <is>
          <t>Rotating inertia of one front corner (CAD)</t>
        </is>
      </c>
      <c r="I27" s="3">
        <f> drivetrain.I_wheel_rear</f>
        <v/>
      </c>
      <c r="J27" s="3" t="inlineStr">
        <is>
          <t>The front rotor spins whether or not that motor is energised, so this number is real for the 2-rear build too. It is the term the sim dropped when it called the fronts "massless free-rollers": worth 2*I/r_w^2 = 13.4 kg of apparent mass, 5.3% of the car, and 0.6% on a 3 s coast-down.</t>
        </is>
      </c>
    </row>
    <row r="28">
      <c r="A28" s="3" t="inlineStr">
        <is>
          <t>Total power cap</t>
        </is>
      </c>
      <c r="B28" s="3" t="inlineStr">
        <is>
          <t>P_max</t>
        </is>
      </c>
      <c r="C28" s="3" t="inlineStr">
        <is>
          <t>drivetrain.power_cap_total</t>
        </is>
      </c>
      <c r="D28" s="3" t="inlineStr">
        <is>
          <t>FSAE EV rules limit on total drive power (EV.4.2, 80 kW at the accumulator).</t>
        </is>
      </c>
      <c r="E28" s="4" t="inlineStr">
        <is>
          <t>80,000</t>
        </is>
      </c>
      <c r="F28" s="3" t="inlineStr">
        <is>
          <t>W</t>
        </is>
      </c>
      <c r="G28" s="3" t="inlineStr">
        <is>
          <t>RULES VALUE (simplified)</t>
        </is>
      </c>
      <c r="H28" s="3" t="inlineStr">
        <is>
          <t>Nothing (rulebook)</t>
        </is>
      </c>
      <c r="I28" s="3" t="inlineStr">
        <is>
          <t>Confirm in the current-year rulebook</t>
        </is>
      </c>
      <c r="J28" s="3" t="inlineStr">
        <is>
          <t>Hard ceiling. The sim applies it to mechanical power (no drivetrain losses modeled) — the real car hits it ~10-15% earlier. PRESENTLY UNREACHABLE: driven_wheels * motor_power_peak == this value exactly, so the per-motor clip already implies it and the total-cap branch is dead code (verify F16 reports the zero headroom). It becomes live the moment motor_power_peak is revised upward — that number is DERIVED from kit curves by three methods spanning 18.1-20.3 kW — or if driveline losses are ever modelled, since the rules limit is electrical at the accumulator while this one is applied to mechanical power.</t>
        </is>
      </c>
    </row>
    <row r="29">
      <c r="A29" s="3" t="inlineStr">
        <is>
          <t>Driven wheels</t>
        </is>
      </c>
      <c r="B29" s="3" t="inlineStr">
        <is>
          <t>n_drv</t>
        </is>
      </c>
      <c r="C29" s="3" t="inlineStr">
        <is>
          <t>drivetrain.driven_wheels</t>
        </is>
      </c>
      <c r="D29" s="3" t="inlineStr">
        <is>
          <t>How many wheels receive drive torque. 4 = one motor per upright; 2 = the rear pair only, which is what the current build runs.</t>
        </is>
      </c>
      <c r="E29" s="5" t="inlineStr">
        <is>
          <t>4</t>
        </is>
      </c>
      <c r="F29" s="3" t="inlineStr">
        <is>
          <t>-</t>
        </is>
      </c>
      <c r="G29" s="6" t="inlineStr">
        <is>
          <t>CURRENT CAR (four motors fitted, one per upright)</t>
        </is>
      </c>
      <c r="H29" s="3" t="inlineStr">
        <is>
          <t>Which inverters are commissioned on the car</t>
        </is>
      </c>
      <c r="I29" s="3" t="inlineStr">
        <is>
          <t>Powertrain: count enabled inverters</t>
        </is>
      </c>
      <c r="J29" s="3" t="inlineStr">
        <is>
          <t>The scale between "peak torque at ONE wheel" and "peak torque the driver can ask for". Every axle-torque budget in the sim is n_drv * T_wheel_max: the maneuver throttle steps, the APPS pedal map, the driver adapter's exact inverse of it, and the plot ceilings.</t>
        </is>
      </c>
    </row>
    <row r="30">
      <c r="A30" s="3" t="inlineStr">
        <is>
          <t>Regen speed cutoff</t>
        </is>
      </c>
      <c r="B30" s="3" t="inlineStr">
        <is>
          <t>-</t>
        </is>
      </c>
      <c r="C30" s="3" t="inlineStr">
        <is>
          <t>drivetrain.regen_speed_cutoff</t>
        </is>
      </c>
      <c r="D30" s="3" t="inlineStr">
        <is>
          <t>Below this speed no negative (regen) torque is commanded.</t>
        </is>
      </c>
      <c r="E30" s="4" t="inlineStr">
        <is>
          <t>1.4</t>
        </is>
      </c>
      <c r="F30" s="3" t="inlineStr">
        <is>
          <t>m/s (~5 km/h)</t>
        </is>
      </c>
      <c r="G30" s="3" t="inlineStr">
        <is>
          <t>RULES VALUE (approx.)</t>
        </is>
      </c>
      <c r="H30" s="3" t="inlineStr">
        <is>
          <t>Nothing (rulebook)</t>
        </is>
      </c>
      <c r="I30" s="3" t="inlineStr">
        <is>
          <t>Confirm in the current-year rulebook</t>
        </is>
      </c>
      <c r="J30" s="3" t="inlineStr">
        <is>
          <t>Rules restrict regen near standstill; also keeps the sim's low-speed slip math out of its untrustworthy zone.</t>
        </is>
      </c>
    </row>
    <row r="31">
      <c r="A31" s="2" t="inlineStr">
        <is>
          <t>AERO</t>
        </is>
      </c>
    </row>
    <row r="32">
      <c r="A32" s="3" t="inlineStr">
        <is>
          <t>Lift coefficient</t>
        </is>
      </c>
      <c r="B32" s="3" t="inlineStr">
        <is>
          <t>C_L</t>
        </is>
      </c>
      <c r="C32" s="3" t="inlineStr">
        <is>
          <t>aero.cl_coeff</t>
        </is>
      </c>
      <c r="D32" s="3" t="inlineStr">
        <is>
          <t>Lift (downforce) coefficient, referenced to frontal_area.</t>
        </is>
      </c>
      <c r="E32" s="4" t="inlineStr">
        <is>
          <t>3.18</t>
        </is>
      </c>
      <c r="F32" s="3" t="inlineStr">
        <is>
          <t>-</t>
        </is>
      </c>
      <c r="G32" s="3" t="inlineStr">
        <is>
          <t>FROM REPORT (old car's aero)</t>
        </is>
      </c>
      <c r="H32" s="3" t="inlineStr">
        <is>
          <t>Current car's downforce coefficient</t>
        </is>
      </c>
      <c r="I32" s="3" t="inlineStr">
        <is>
          <t>CFD, then straight-line coast-down / load-cell validation</t>
        </is>
      </c>
      <c r="J32" s="3" t="inlineStr">
        <is>
          <t>Downforce = 0.5*rho*C_L*A*v^2 — free grip that grows with speed^2.</t>
        </is>
      </c>
    </row>
    <row r="33">
      <c r="A33" s="3" t="inlineStr">
        <is>
          <t>Drag coefficient</t>
        </is>
      </c>
      <c r="B33" s="3" t="inlineStr">
        <is>
          <t>C_D</t>
        </is>
      </c>
      <c r="C33" s="3" t="inlineStr">
        <is>
          <t>aero.cd_coeff</t>
        </is>
      </c>
      <c r="D33" s="3" t="inlineStr">
        <is>
          <t>Drag coefficient, same reference area.</t>
        </is>
      </c>
      <c r="E33" s="4" t="inlineStr">
        <is>
          <t>1.36</t>
        </is>
      </c>
      <c r="F33" s="3" t="inlineStr">
        <is>
          <t>-</t>
        </is>
      </c>
      <c r="G33" s="3" t="inlineStr">
        <is>
          <t>FROM REPORT (old car's aero)</t>
        </is>
      </c>
      <c r="H33" s="3" t="inlineStr">
        <is>
          <t>Current car's drag coefficient</t>
        </is>
      </c>
      <c r="I33" s="3" t="inlineStr">
        <is>
          <t>CFD + coast-down test</t>
        </is>
      </c>
      <c r="J33" s="3" t="inlineStr">
        <is>
          <t>Sets top-speed force budget and the torque needed to hold speed in every maneuver.</t>
        </is>
      </c>
    </row>
    <row r="34">
      <c r="A34" s="3" t="inlineStr">
        <is>
          <t>Frontal area</t>
        </is>
      </c>
      <c r="B34" s="3" t="inlineStr">
        <is>
          <t>A_F</t>
        </is>
      </c>
      <c r="C34" s="3" t="inlineStr">
        <is>
          <t>aero.frontal_area</t>
        </is>
      </c>
      <c r="D34" s="3" t="inlineStr">
        <is>
          <t>Aerodynamic frontal reference area.</t>
        </is>
      </c>
      <c r="E34" s="4" t="inlineStr">
        <is>
          <t>1.106</t>
        </is>
      </c>
      <c r="F34" s="3" t="inlineStr">
        <is>
          <t>m^2</t>
        </is>
      </c>
      <c r="G34" s="3" t="inlineStr">
        <is>
          <t>FROM REPORT</t>
        </is>
      </c>
      <c r="H34" s="3" t="inlineStr">
        <is>
          <t>Projected frontal area</t>
        </is>
      </c>
      <c r="I34" s="3" t="inlineStr">
        <is>
          <t>CAD projection</t>
        </is>
      </c>
      <c r="J34" s="3" t="inlineStr">
        <is>
          <t>Only the products C*A enter the physics — keep coefficient and area consistent.</t>
        </is>
      </c>
    </row>
    <row r="35">
      <c r="A35" s="3" t="inlineStr">
        <is>
          <t>ClA (computed)</t>
        </is>
      </c>
      <c r="B35" s="3" t="inlineStr">
        <is>
          <t>C_L*A</t>
        </is>
      </c>
      <c r="C35" s="3" t="inlineStr">
        <is>
          <t>aero.ClA</t>
        </is>
      </c>
      <c r="D35" s="3" t="inlineStr">
        <is>
          <t>The downforce product the sim actually uses.</t>
        </is>
      </c>
      <c r="E35" s="4" t="inlineStr">
        <is>
          <t>3.517</t>
        </is>
      </c>
      <c r="F35" s="3" t="inlineStr">
        <is>
          <t>m^2</t>
        </is>
      </c>
      <c r="G35" s="3" t="inlineStr">
        <is>
          <t>DERIVED</t>
        </is>
      </c>
      <c r="H35" s="3" t="inlineStr">
        <is>
          <t>-</t>
        </is>
      </c>
      <c r="I35" s="3">
        <f> aero.cl_coeff * aero.frontal_area</f>
        <v/>
      </c>
      <c r="J35" s="3" t="inlineStr">
        <is>
          <t>-</t>
        </is>
      </c>
    </row>
    <row r="36">
      <c r="A36" s="3" t="inlineStr">
        <is>
          <t>CdA (computed)</t>
        </is>
      </c>
      <c r="B36" s="3" t="inlineStr">
        <is>
          <t>C_D*A</t>
        </is>
      </c>
      <c r="C36" s="3" t="inlineStr">
        <is>
          <t>aero.CdA</t>
        </is>
      </c>
      <c r="D36" s="3" t="inlineStr">
        <is>
          <t>The drag product the sim actually uses.</t>
        </is>
      </c>
      <c r="E36" s="4" t="inlineStr">
        <is>
          <t>1.504</t>
        </is>
      </c>
      <c r="F36" s="3" t="inlineStr">
        <is>
          <t>m^2</t>
        </is>
      </c>
      <c r="G36" s="3" t="inlineStr">
        <is>
          <t>DERIVED</t>
        </is>
      </c>
      <c r="H36" s="3" t="inlineStr">
        <is>
          <t>-</t>
        </is>
      </c>
      <c r="I36" s="3">
        <f> aero.cd_coeff * aero.frontal_area</f>
        <v/>
      </c>
      <c r="J36" s="3" t="inlineStr">
        <is>
          <t>-</t>
        </is>
      </c>
    </row>
    <row r="37">
      <c r="A37" s="3" t="inlineStr">
        <is>
          <t>Aero balance</t>
        </is>
      </c>
      <c r="B37" s="3" t="inlineStr">
        <is>
          <t>pct_aero_f</t>
        </is>
      </c>
      <c r="C37" s="3" t="inlineStr">
        <is>
          <t>aero.balance_front</t>
        </is>
      </c>
      <c r="D37" s="3" t="inlineStr">
        <is>
          <t>Fraction of total downforce landing on the FRONT axle (0.45 = 45/55).</t>
        </is>
      </c>
      <c r="E37" s="4" t="inlineStr">
        <is>
          <t>0.45</t>
        </is>
      </c>
      <c r="F37" s="3" t="inlineStr">
        <is>
          <t>0-1</t>
        </is>
      </c>
      <c r="G37" s="7" t="inlineStr">
        <is>
          <t>PLACEHOLDER — pure guess</t>
        </is>
      </c>
      <c r="H37" s="3" t="inlineStr">
        <is>
          <t>Center-of-pressure position</t>
        </is>
      </c>
      <c r="I37" s="3" t="inlineStr">
        <is>
          <t>CFD (aero team) — ask for CP height too</t>
        </is>
      </c>
      <c r="J37" s="3" t="inlineStr">
        <is>
          <t>Moves grip between axles as speed rises — shapes high-speed balance directly. One of the last pure guesses outside tires.</t>
        </is>
      </c>
    </row>
    <row r="38">
      <c r="A38" s="2" t="inlineStr">
        <is>
          <t>STEERING GEOMETRY</t>
        </is>
      </c>
    </row>
    <row r="39">
      <c r="A39" s="3" t="inlineStr">
        <is>
          <t>Ackermann fraction</t>
        </is>
      </c>
      <c r="B39" s="3" t="inlineStr">
        <is>
          <t>pct_A</t>
        </is>
      </c>
      <c r="C39" s="3" t="inlineStr">
        <is>
          <t>steering.ackermann_fraction</t>
        </is>
      </c>
      <c r="D39" s="3" t="inlineStr">
        <is>
          <t>How much of the geometric (100%) Ackermann inner/outer steer split the steering actually delivers. 0.0 = parallel steer (both fronts get the same angle), 1.0 = full geometric Ackermann, negative = anti-Ackermann.</t>
        </is>
      </c>
      <c r="E39" s="4" t="inlineStr">
        <is>
          <t>0</t>
        </is>
      </c>
      <c r="F39" s="3" t="inlineStr">
        <is>
          <t>-</t>
        </is>
      </c>
      <c r="G39" s="7" t="inlineStr">
        <is>
          <t>PLACEHOLDER (parallel) — RWheel curve needed</t>
        </is>
      </c>
      <c r="H39" s="3" t="inlineStr">
        <is>
          <t>The steering curve: both wheels' angles vs handwheel angle</t>
        </is>
      </c>
      <c r="I39" s="3" t="inlineStr">
        <is>
          <t>From the steering chart: the LWheel curve is on file, need the RWheel polynomial from the same chart (or a few x, LWheel, RWheel point triples).</t>
        </is>
      </c>
      <c r="J39" s="3" t="inlineStr">
        <is>
          <t>Only matters at large steer angles: at 5 deg the split is ~+/-0.2 deg; at the 23 deg full-lock hairpin it is ~+/-4 deg per wheel. Proven to flip whether s-diff-only survives the hairpin (runs 007 vs 008).</t>
        </is>
      </c>
    </row>
    <row r="40">
      <c r="A40" s="2" t="inlineStr">
        <is>
          <t>LOAD TRANSFER</t>
        </is>
      </c>
    </row>
    <row r="41">
      <c r="A41" s="3" t="inlineStr">
        <is>
          <t>Front spring rate</t>
        </is>
      </c>
      <c r="B41" s="3" t="inlineStr">
        <is>
          <t>ks_f</t>
        </is>
      </c>
      <c r="C41" s="3" t="inlineStr">
        <is>
          <t>loads.spring_rate_front</t>
        </is>
      </c>
      <c r="D41" s="3" t="inlineStr">
        <is>
          <t>Front suspension spring rate. Used ONLY through its ratio to the rear.</t>
        </is>
      </c>
      <c r="E41" s="4" t="inlineStr">
        <is>
          <t>19.3</t>
        </is>
      </c>
      <c r="F41" s="3" t="inlineStr">
        <is>
          <t>N/mm (ratio only)</t>
        </is>
      </c>
      <c r="G41" s="3" t="inlineStr">
        <is>
          <t>FROM REPORT</t>
        </is>
      </c>
      <c r="H41" s="3" t="inlineStr">
        <is>
          <t>Front roll stiffness incl. ARBs and motion ratios</t>
        </is>
      </c>
      <c r="I41" s="3" t="inlineStr">
        <is>
          <t>Suspension team</t>
        </is>
      </c>
      <c r="J41" s="3" t="inlineStr">
        <is>
          <t>Numerator of the lateral load-transfer split.</t>
        </is>
      </c>
    </row>
    <row r="42">
      <c r="A42" s="3" t="inlineStr">
        <is>
          <t>Rear spring rate</t>
        </is>
      </c>
      <c r="B42" s="3" t="inlineStr">
        <is>
          <t>ks_r</t>
        </is>
      </c>
      <c r="C42" s="3" t="inlineStr">
        <is>
          <t>loads.spring_rate_rear</t>
        </is>
      </c>
      <c r="D42" s="3" t="inlineStr">
        <is>
          <t>Rear suspension spring rate. Used ONLY through its ratio to the front.</t>
        </is>
      </c>
      <c r="E42" s="4" t="inlineStr">
        <is>
          <t>24.8</t>
        </is>
      </c>
      <c r="F42" s="3" t="inlineStr">
        <is>
          <t>N/mm (ratio only)</t>
        </is>
      </c>
      <c r="G42" s="3" t="inlineStr">
        <is>
          <t>FROM REPORT</t>
        </is>
      </c>
      <c r="H42" s="3" t="inlineStr">
        <is>
          <t>Rear roll stiffness incl. ARBs and motion ratios</t>
        </is>
      </c>
      <c r="I42" s="3" t="inlineStr">
        <is>
          <t>Suspension team</t>
        </is>
      </c>
      <c r="J42" s="3" t="inlineStr">
        <is>
          <t>Denominator half of the lateral load-transfer split.</t>
        </is>
      </c>
    </row>
    <row r="43">
      <c r="A43" s="3" t="inlineStr">
        <is>
          <t>Front lateral-transfer fraction</t>
        </is>
      </c>
      <c r="B43" s="3" t="inlineStr">
        <is>
          <t>-</t>
        </is>
      </c>
      <c r="C43" s="3" t="inlineStr">
        <is>
          <t>loads.lat_transfer_frac_front</t>
        </is>
      </c>
      <c r="D43" s="3" t="inlineStr">
        <is>
          <t>Share of total LATERAL load transfer reacted by the FRONT axle, set by the front/rear roll-stiffness split.</t>
        </is>
      </c>
      <c r="E43" s="4" t="inlineStr">
        <is>
          <t>0.4376</t>
        </is>
      </c>
      <c r="F43" s="3" t="inlineStr">
        <is>
          <t>0-1</t>
        </is>
      </c>
      <c r="G43" s="3" t="inlineStr">
        <is>
          <t>FROM REPORT (spring-rate ratio only) — crude</t>
        </is>
      </c>
      <c r="H43" s="3" t="inlineStr">
        <is>
          <t>Front vs rear roll stiffness</t>
        </is>
      </c>
      <c r="I43" s="3">
        <f> loads.spring_rate_front / (loads.spring_rate_front + loads.spring_rate_rear)</f>
        <v/>
      </c>
      <c r="J43" s="3" t="inlineStr">
        <is>
          <t>Which axle eats the load transfer = which axle loses grip first — trades understeer/oversteer at the limit.</t>
        </is>
      </c>
    </row>
    <row r="44">
      <c r="A44" s="2" t="inlineStr">
        <is>
          <t>TIRES — TTC ROUND 9 FIT (R20 compound, 2026-08-31); surrogate sizes, road µ = belt × 0.67 pending skidpad</t>
        </is>
      </c>
    </row>
    <row r="45">
      <c r="A45" s="3" t="inlineStr">
        <is>
          <t>Belt→road grip scale</t>
        </is>
      </c>
      <c r="B45" s="3" t="inlineStr">
        <is>
          <t>-</t>
        </is>
      </c>
      <c r="C45" s="3" t="inlineStr">
        <is>
          <t>tires.mu_road_scale</t>
        </is>
      </c>
      <c r="D45" s="3" t="inlineStr">
        <is>
          <t>Belt-&gt;asphalt grip scaling. Calspan's sandpaper belt grips harder than track asphalt; common practice scales the fitted peak mu by ~0.65-0.70 for on-road prediction (stiffnesses/shapes carry over unscaled).</t>
        </is>
      </c>
      <c r="E45" s="4" t="inlineStr">
        <is>
          <t>0.67</t>
        </is>
      </c>
      <c r="F45" s="3" t="inlineStr">
        <is>
          <t>-</t>
        </is>
      </c>
      <c r="G45" s="7" t="inlineStr">
        <is>
          <t>PLACEHOLDER — skidpad measures this</t>
        </is>
      </c>
      <c r="H45" s="3" t="inlineStr">
        <is>
          <t>Steady-state skidpad lateral g</t>
        </is>
      </c>
      <c r="I45" s="3" t="inlineStr">
        <is>
          <t>Skidpad test vs sim prediction</t>
        </is>
      </c>
      <c r="J45" s="3" t="inlineStr">
        <is>
          <t>Multiplies EVERY grip number — the single biggest absolute-accuracy lever left. VALIDATE on skidpad; that measurement replaces this guess with truth.</t>
        </is>
      </c>
    </row>
    <row r="46">
      <c r="A46" s="3" t="inlineStr">
        <is>
          <t>Belt peak µ, lateral</t>
        </is>
      </c>
      <c r="B46" s="3" t="inlineStr">
        <is>
          <t>mu_belt_y</t>
        </is>
      </c>
      <c r="C46" s="3" t="inlineStr">
        <is>
          <t>tires.belt_mu_lat</t>
        </is>
      </c>
      <c r="D46" s="3" t="inlineStr">
        <is>
          <t>Peak LATERAL friction coefficient as fitted on the Calspan belt.</t>
        </is>
      </c>
      <c r="E46" s="5" t="inlineStr">
        <is>
          <t>2.593</t>
        </is>
      </c>
      <c r="F46" s="3" t="inlineStr">
        <is>
          <t>-</t>
        </is>
      </c>
      <c r="G46" s="6" t="inlineStr">
        <is>
          <t>TTC FIT R9</t>
        </is>
      </c>
      <c r="H46" s="3" t="inlineStr">
        <is>
          <t>-</t>
        </is>
      </c>
      <c r="I46" s="3" t="inlineStr">
        <is>
          <t>tire_fit.py on Round 9 cornering runs (surrogate spread +/-6%)</t>
        </is>
      </c>
      <c r="J46" s="3" t="inlineStr">
        <is>
          <t>Scaled by mu_road_scale to give the road value the sim uses.</t>
        </is>
      </c>
    </row>
    <row r="47">
      <c r="A47" s="3" t="inlineStr">
        <is>
          <t>Belt peak µ, longitudinal</t>
        </is>
      </c>
      <c r="B47" s="3" t="inlineStr">
        <is>
          <t>mu_belt_x</t>
        </is>
      </c>
      <c r="C47" s="3" t="inlineStr">
        <is>
          <t>tires.belt_mu_long</t>
        </is>
      </c>
      <c r="D47" s="3" t="inlineStr">
        <is>
          <t>Peak LONGITUDINAL friction coefficient as fitted on the belt.</t>
        </is>
      </c>
      <c r="E47" s="5" t="inlineStr">
        <is>
          <t>2.359</t>
        </is>
      </c>
      <c r="F47" s="3" t="inlineStr">
        <is>
          <t>-</t>
        </is>
      </c>
      <c r="G47" s="6" t="inlineStr">
        <is>
          <t>TTC FIT R9</t>
        </is>
      </c>
      <c r="H47" s="3" t="inlineStr">
        <is>
          <t>-</t>
        </is>
      </c>
      <c r="I47" s="3" t="inlineStr">
        <is>
          <t>tire_fit.py on Round 9 drive/brake runs</t>
        </is>
      </c>
      <c r="J47" s="3" t="inlineStr">
        <is>
          <t>Scaled by mu_road_scale to give the road value the sim uses.</t>
        </is>
      </c>
    </row>
    <row r="48">
      <c r="A48" s="3" t="inlineStr">
        <is>
          <t>Peak friction coefficient</t>
        </is>
      </c>
      <c r="B48" s="3" t="inlineStr">
        <is>
          <t>mu0</t>
        </is>
      </c>
      <c r="C48" s="3" t="inlineStr">
        <is>
          <t>tires.mu0</t>
        </is>
      </c>
      <c r="D48" s="3" t="inlineStr">
        <is>
          <t>Peak grip per newton of load, at the nominal load (road value).</t>
        </is>
      </c>
      <c r="E48" s="5" t="inlineStr">
        <is>
          <t>1.737</t>
        </is>
      </c>
      <c r="F48" s="3" t="inlineStr">
        <is>
          <t>-</t>
        </is>
      </c>
      <c r="G48" s="6" t="inlineStr">
        <is>
          <t>TTC FIT R9</t>
        </is>
      </c>
      <c r="H48" s="3" t="inlineStr">
        <is>
          <t>Peak mu at several loads</t>
        </is>
      </c>
      <c r="I48" s="3">
        <f> tires.mu_road_scale * tires.belt_mu_lat</f>
        <v/>
      </c>
      <c r="J48" s="3" t="inlineStr">
        <is>
          <t>THE grip number. Max lateral g, spin thresholds, everything — the single most important number in the sim.</t>
        </is>
      </c>
    </row>
    <row r="49">
      <c r="A49" s="3" t="inlineStr">
        <is>
          <t>Peak longitudinal friction</t>
        </is>
      </c>
      <c r="B49" s="3" t="inlineStr">
        <is>
          <t>mu0x</t>
        </is>
      </c>
      <c r="C49" s="3" t="inlineStr">
        <is>
          <t>tires.mu0_long</t>
        </is>
      </c>
      <c r="D49" s="3" t="inlineStr">
        <is>
          <t>Drive/brake grip peak — fitted 9% below lateral; combined slip caps on the friction ELLIPSE in tire.py.</t>
        </is>
      </c>
      <c r="E49" s="5" t="inlineStr">
        <is>
          <t>1.581</t>
        </is>
      </c>
      <c r="F49" s="3" t="inlineStr">
        <is>
          <t>-</t>
        </is>
      </c>
      <c r="G49" s="6" t="inlineStr">
        <is>
          <t>TTC FIT R9</t>
        </is>
      </c>
      <c r="H49" s="3" t="inlineStr">
        <is>
          <t>-</t>
        </is>
      </c>
      <c r="I49" s="3">
        <f> tires.mu_road_scale * tires.belt_mu_long</f>
        <v/>
      </c>
      <c r="J49" s="3" t="inlineStr">
        <is>
          <t>Sets wheelspin threshold and traction capability.</t>
        </is>
      </c>
    </row>
    <row r="50">
      <c r="A50" s="3" t="inlineStr">
        <is>
          <t>Load sensitivity</t>
        </is>
      </c>
      <c r="B50" s="3" t="inlineStr">
        <is>
          <t>s_mu</t>
        </is>
      </c>
      <c r="C50" s="3" t="inlineStr">
        <is>
          <t>tires.s_mu</t>
        </is>
      </c>
      <c r="D50" s="3" t="inlineStr">
        <is>
          <t>Load sensitivity — how much the friction COEFFICIENT drops as vertical load rises: mu = mu0 * (1 - s_mu*(Fz/Fz_nom - 1)). Shared by the lateral and longitudinal peaks.</t>
        </is>
      </c>
      <c r="E50" s="5" t="inlineStr">
        <is>
          <t>0.112</t>
        </is>
      </c>
      <c r="F50" s="3" t="inlineStr">
        <is>
          <t>—/100% load</t>
        </is>
      </c>
      <c r="G50" s="6" t="inlineStr">
        <is>
          <t>TTC FIT R9</t>
        </is>
      </c>
      <c r="H50" s="3" t="inlineStr">
        <is>
          <t>mu at low vs high load</t>
        </is>
      </c>
      <c r="I50" s="3" t="inlineStr">
        <is>
          <t>Same TTC fit</t>
        </is>
      </c>
      <c r="J50" s="3" t="inlineStr">
        <is>
          <t>The reason load transfer costs grip and torque placement matters at all. Zero would make TV pointless.</t>
        </is>
      </c>
    </row>
    <row r="51">
      <c r="A51" s="3" t="inlineStr">
        <is>
          <t>Nominal tire load</t>
        </is>
      </c>
      <c r="B51" s="3" t="inlineStr">
        <is>
          <t>Fz_nom</t>
        </is>
      </c>
      <c r="C51" s="3" t="inlineStr">
        <is>
          <t>tires.Fz_nom</t>
        </is>
      </c>
      <c r="D51" s="3" t="inlineStr">
        <is>
          <t>The "nominal" vertical load at which mu0 is defined (~one static corner weight).</t>
        </is>
      </c>
      <c r="E51" s="4" t="inlineStr">
        <is>
          <t>618.6</t>
        </is>
      </c>
      <c r="F51" s="3" t="inlineStr">
        <is>
          <t>N</t>
        </is>
      </c>
      <c r="G51" s="3" t="inlineStr">
        <is>
          <t>DERIVED (follows the masses automatically)</t>
        </is>
      </c>
      <c r="H51" s="3" t="inlineStr">
        <is>
          <t>-</t>
        </is>
      </c>
      <c r="I51" s="3">
        <f> (mass.car_no_driver + mass.driver) * environment.g / 4.0</f>
        <v/>
      </c>
      <c r="J51" s="3" t="inlineStr">
        <is>
          <t>Reference point for the load-sensitivity line.</t>
        </is>
      </c>
    </row>
    <row r="52">
      <c r="A52" s="3" t="inlineStr">
        <is>
          <t>Front cornering stiffness</t>
        </is>
      </c>
      <c r="B52" s="3" t="inlineStr">
        <is>
          <t>c_alpha_f</t>
        </is>
      </c>
      <c r="C52" s="3" t="inlineStr">
        <is>
          <t>tires.c_alpha_front</t>
        </is>
      </c>
      <c r="D52" s="3" t="inlineStr">
        <is>
          <t>Normalized cornering stiffness of a FRONT tire: lateral force per radian of slip angle, per newton of load (C_alpha = this * Fz).</t>
        </is>
      </c>
      <c r="E52" s="5" t="inlineStr">
        <is>
          <t>37</t>
        </is>
      </c>
      <c r="F52" s="3" t="inlineStr">
        <is>
          <t>1/rad</t>
        </is>
      </c>
      <c r="G52" s="6" t="inlineStr">
        <is>
          <t>TTC FIT R9 (same tire all round)</t>
        </is>
      </c>
      <c r="H52" s="3" t="inlineStr">
        <is>
          <t>Slope of Fy vs slip angle at small angles</t>
        </is>
      </c>
      <c r="I52" s="3" t="inlineStr">
        <is>
          <t>TTC cornering sweep</t>
        </is>
      </c>
      <c r="J52" s="3" t="inlineStr">
        <is>
          <t>Front-axle responsiveness; with rear stiffness sets the understeer gradient K_us the TV reference uses.</t>
        </is>
      </c>
    </row>
    <row r="53">
      <c r="A53" s="3" t="inlineStr">
        <is>
          <t>Rear cornering stiffness</t>
        </is>
      </c>
      <c r="B53" s="3" t="inlineStr">
        <is>
          <t>c_alpha_r</t>
        </is>
      </c>
      <c r="C53" s="3" t="inlineStr">
        <is>
          <t>tires.c_alpha_rear</t>
        </is>
      </c>
      <c r="D53" s="3" t="inlineStr">
        <is>
          <t>Same, for a REAR tire.</t>
        </is>
      </c>
      <c r="E53" s="5" t="inlineStr">
        <is>
          <t>37</t>
        </is>
      </c>
      <c r="F53" s="3" t="inlineStr">
        <is>
          <t>1/rad</t>
        </is>
      </c>
      <c r="G53" s="6" t="inlineStr">
        <is>
          <t>TTC FIT R9 (same tire all round)</t>
        </is>
      </c>
      <c r="H53" s="3" t="inlineStr">
        <is>
          <t>Same, rear</t>
        </is>
      </c>
      <c r="I53" s="3" t="inlineStr">
        <is>
          <t>TTC cornering sweep</t>
        </is>
      </c>
      <c r="J53" s="3" t="inlineStr">
        <is>
          <t>Rear grip slope — stability side of the understeer gradient.</t>
        </is>
      </c>
    </row>
    <row r="54">
      <c r="A54" s="3" t="inlineStr">
        <is>
          <t>Longitudinal slip stiffness</t>
        </is>
      </c>
      <c r="B54" s="3" t="inlineStr">
        <is>
          <t>c_kappa</t>
        </is>
      </c>
      <c r="C54" s="3" t="inlineStr">
        <is>
          <t>tires.c_kappa</t>
        </is>
      </c>
      <c r="D54" s="3" t="inlineStr">
        <is>
          <t>Normalized longitudinal slip stiffness: drive/brake force per unit slip ratio per newton (C_kappa = this * Fz).</t>
        </is>
      </c>
      <c r="E54" s="5" t="inlineStr">
        <is>
          <t>41.9</t>
        </is>
      </c>
      <c r="F54" s="3" t="inlineStr">
        <is>
          <t>1/slip</t>
        </is>
      </c>
      <c r="G54" s="6" t="inlineStr">
        <is>
          <t>TTC FIT R9</t>
        </is>
      </c>
      <c r="H54" s="3" t="inlineStr">
        <is>
          <t>Slope of Fx vs slip ratio</t>
        </is>
      </c>
      <c r="I54" s="3" t="inlineStr">
        <is>
          <t>TTC drive/brake sweep</t>
        </is>
      </c>
      <c r="J54" s="3" t="inlineStr">
        <is>
          <t>Sets wheel-spin dynamics speed — the s-diff's plant. Gains retune if it moves.</t>
        </is>
      </c>
    </row>
    <row r="55">
      <c r="A55" s="3" t="inlineStr">
        <is>
          <t>Lateral shape factor</t>
        </is>
      </c>
      <c r="B55" s="3" t="inlineStr">
        <is>
          <t>C_y</t>
        </is>
      </c>
      <c r="C55" s="3" t="inlineStr">
        <is>
          <t>tires.shape_c_lat</t>
        </is>
      </c>
      <c r="D55" s="3" t="inlineStr">
        <is>
          <t>Magic Formula shape factor — how sharply lateral force peaks.</t>
        </is>
      </c>
      <c r="E55" s="5" t="inlineStr">
        <is>
          <t>1.397</t>
        </is>
      </c>
      <c r="F55" s="3" t="inlineStr">
        <is>
          <t>-</t>
        </is>
      </c>
      <c r="G55" s="6" t="inlineStr">
        <is>
          <t>TTC FIT R9</t>
        </is>
      </c>
      <c r="H55" s="3" t="inlineStr">
        <is>
          <t>Curve shape near/past the peak</t>
        </is>
      </c>
      <c r="I55" s="3" t="inlineStr">
        <is>
          <t>TTC fit</t>
        </is>
      </c>
      <c r="J55" s="3" t="inlineStr">
        <is>
          <t>With E_y, sets where the curve peaks (currently 11.6 deg — real slicks ~6-10 deg) and how it lets go.</t>
        </is>
      </c>
    </row>
    <row r="56">
      <c r="A56" s="3" t="inlineStr">
        <is>
          <t>Lateral curvature factor</t>
        </is>
      </c>
      <c r="B56" s="3" t="inlineStr">
        <is>
          <t>E_y</t>
        </is>
      </c>
      <c r="C56" s="3" t="inlineStr">
        <is>
          <t>tires.curv_e_lat</t>
        </is>
      </c>
      <c r="D56" s="3" t="inlineStr">
        <is>
          <t>Magic Formula curvature factor — fall-off past the lateral peak.</t>
        </is>
      </c>
      <c r="E56" s="5" t="inlineStr">
        <is>
          <t>0.365</t>
        </is>
      </c>
      <c r="F56" s="3" t="inlineStr">
        <is>
          <t>-</t>
        </is>
      </c>
      <c r="G56" s="6" t="inlineStr">
        <is>
          <t>TTC FIT R9</t>
        </is>
      </c>
      <c r="H56" s="3" t="inlineStr">
        <is>
          <t>Post-peak behavior</t>
        </is>
      </c>
      <c r="I56" s="3" t="inlineStr">
        <is>
          <t>TTC fit</t>
        </is>
      </c>
      <c r="J56" s="3" t="inlineStr">
        <is>
          <t>Gentle vs snappy breakaway — currently more forgiving than a real slick.</t>
        </is>
      </c>
    </row>
    <row r="57">
      <c r="A57" s="3" t="inlineStr">
        <is>
          <t>Longitudinal shape factor</t>
        </is>
      </c>
      <c r="B57" s="3" t="inlineStr">
        <is>
          <t>C_x</t>
        </is>
      </c>
      <c r="C57" s="3" t="inlineStr">
        <is>
          <t>tires.shape_c_long</t>
        </is>
      </c>
      <c r="D57" s="3" t="inlineStr">
        <is>
          <t>Same idea, drive/brake direction.</t>
        </is>
      </c>
      <c r="E57" s="5" t="inlineStr">
        <is>
          <t>1.705</t>
        </is>
      </c>
      <c r="F57" s="3" t="inlineStr">
        <is>
          <t>-</t>
        </is>
      </c>
      <c r="G57" s="6" t="inlineStr">
        <is>
          <t>TTC FIT R9</t>
        </is>
      </c>
      <c r="H57" s="3" t="inlineStr">
        <is>
          <t>Curve shape</t>
        </is>
      </c>
      <c r="I57" s="3" t="inlineStr">
        <is>
          <t>TTC fit</t>
        </is>
      </c>
      <c r="J57" s="3" t="inlineStr">
        <is>
          <t>Sets the peak slip ratio (~0.10) — also the replay's red-wheel spin threshold.</t>
        </is>
      </c>
    </row>
    <row r="58">
      <c r="A58" s="3" t="inlineStr">
        <is>
          <t>Longitudinal curvature factor</t>
        </is>
      </c>
      <c r="B58" s="3" t="inlineStr">
        <is>
          <t>E_x</t>
        </is>
      </c>
      <c r="C58" s="3" t="inlineStr">
        <is>
          <t>tires.curv_e_long</t>
        </is>
      </c>
      <c r="D58" s="3" t="inlineStr">
        <is>
          <t>Fall-off past the longitudinal peak.</t>
        </is>
      </c>
      <c r="E58" s="5" t="inlineStr">
        <is>
          <t>0.389</t>
        </is>
      </c>
      <c r="F58" s="3" t="inlineStr">
        <is>
          <t>-</t>
        </is>
      </c>
      <c r="G58" s="6" t="inlineStr">
        <is>
          <t>TTC FIT R9</t>
        </is>
      </c>
      <c r="H58" s="3" t="inlineStr">
        <is>
          <t>Post-peak behavior</t>
        </is>
      </c>
      <c r="I58" s="3" t="inlineStr">
        <is>
          <t>TTC fit</t>
        </is>
      </c>
      <c r="J58" s="3" t="inlineStr">
        <is>
          <t>How violently a spinning wheel loses force — feeds the wheelspin runaway.</t>
        </is>
      </c>
    </row>
    <row r="59">
      <c r="A59" s="2" t="inlineStr">
        <is>
          <t>SENSORS &amp; VCU — the VCU itself</t>
        </is>
      </c>
    </row>
    <row r="60">
      <c r="A60" s="3" t="inlineStr">
        <is>
          <t>VCU loop rate</t>
        </is>
      </c>
      <c r="B60" s="3" t="inlineStr">
        <is>
          <t>-</t>
        </is>
      </c>
      <c r="C60" s="3" t="inlineStr">
        <is>
          <t>sensors.vcu.rate_hz</t>
        </is>
      </c>
      <c r="D60" s="3" t="inlineStr">
        <is>
          <t>VCU control-loop rate — how often sensors are sampled and torque commands are recomputed (physics still integrates at 4 kHz).</t>
        </is>
      </c>
      <c r="E60" s="4" t="inlineStr">
        <is>
          <t>100</t>
        </is>
      </c>
      <c r="F60" s="3" t="inlineStr">
        <is>
          <t>Hz</t>
        </is>
      </c>
      <c r="G60" s="7" t="inlineStr">
        <is>
          <t>PLACEHOLDER — ask software team</t>
        </is>
      </c>
      <c r="H60" s="3" t="inlineStr">
        <is>
          <t>The real VCU loop rate</t>
        </is>
      </c>
      <c r="I60" s="3" t="inlineStr">
        <is>
          <t>Software team</t>
        </is>
      </c>
      <c r="J60" s="3" t="inlineStr">
        <is>
          <t>Gains proven stable at 100 Hz (verify.py section H); make it match reality before quoting controller performance.</t>
        </is>
      </c>
    </row>
    <row r="61">
      <c r="A61" s="3" t="inlineStr">
        <is>
          <t>Plausibility cut threshold</t>
        </is>
      </c>
      <c r="B61" s="3" t="inlineStr">
        <is>
          <t>-</t>
        </is>
      </c>
      <c r="C61" s="3" t="inlineStr">
        <is>
          <t>sensors.vcu.plaus_apps_cut</t>
        </is>
      </c>
      <c r="D61" s="3" t="inlineStr">
        <is>
          <t>APPS percentage above which, while braking, motor power must be cut.</t>
        </is>
      </c>
      <c r="E61" s="4" t="inlineStr">
        <is>
          <t>25</t>
        </is>
      </c>
      <c r="F61" s="3" t="inlineStr">
        <is>
          <t>%</t>
        </is>
      </c>
      <c r="G61" s="3" t="inlineStr">
        <is>
          <t>RULES VALUE (EV.4.7)</t>
        </is>
      </c>
      <c r="H61" s="3" t="inlineStr">
        <is>
          <t>-</t>
        </is>
      </c>
      <c r="I61" s="3" t="inlineStr">
        <is>
          <t>Rulebook (confirm current year)</t>
        </is>
      </c>
      <c r="J61" s="3" t="inlineStr">
        <is>
          <t>Implemented and unit-tested (verify I3); the pedal_check maneuver demonstrates it.</t>
        </is>
      </c>
    </row>
    <row r="62">
      <c r="A62" s="3" t="inlineStr">
        <is>
          <t>Plausibility restore threshold</t>
        </is>
      </c>
      <c r="B62" s="3" t="inlineStr">
        <is>
          <t>-</t>
        </is>
      </c>
      <c r="C62" s="3" t="inlineStr">
        <is>
          <t>sensors.vcu.plaus_apps_restore</t>
        </is>
      </c>
      <c r="D62" s="3" t="inlineStr">
        <is>
          <t>APPS percentage the pedal must fall below before power is restored.</t>
        </is>
      </c>
      <c r="E62" s="4" t="inlineStr">
        <is>
          <t>5</t>
        </is>
      </c>
      <c r="F62" s="3" t="inlineStr">
        <is>
          <t>%</t>
        </is>
      </c>
      <c r="G62" s="3" t="inlineStr">
        <is>
          <t>RULES VALUE (EV.4.7)</t>
        </is>
      </c>
      <c r="H62" s="3" t="inlineStr">
        <is>
          <t>-</t>
        </is>
      </c>
      <c r="I62" s="3" t="inlineStr">
        <is>
          <t>Rulebook (confirm current year)</t>
        </is>
      </c>
      <c r="J62" s="3" t="inlineStr">
        <is>
          <t>The latch that makes the cut a latch and not a flicker.</t>
        </is>
      </c>
    </row>
    <row r="63">
      <c r="A63" s="3" t="inlineStr">
        <is>
          <t>Sensor noise seed</t>
        </is>
      </c>
      <c r="B63" s="3" t="inlineStr">
        <is>
          <t>-</t>
        </is>
      </c>
      <c r="C63" s="3" t="inlineStr">
        <is>
          <t>sensors.vcu.seed</t>
        </is>
      </c>
      <c r="D63" s="3" t="inlineStr">
        <is>
          <t>Seed for the sensor-noise generator — runs are exactly repeatable and all four controller configs see IDENTICAL noise.</t>
        </is>
      </c>
      <c r="E63" s="4" t="inlineStr">
        <is>
          <t>2026</t>
        </is>
      </c>
      <c r="F63" s="3" t="inlineStr">
        <is>
          <t>-</t>
        </is>
      </c>
      <c r="G63" s="3" t="inlineStr">
        <is>
          <t>NUMERICAL GUARD (repeatability)</t>
        </is>
      </c>
      <c r="H63" s="3" t="inlineStr">
        <is>
          <t>-</t>
        </is>
      </c>
      <c r="I63" s="3" t="inlineStr">
        <is>
          <t>-</t>
        </is>
      </c>
      <c r="J63" s="3" t="inlineStr">
        <is>
          <t>Fair comparisons and reproducible runs.</t>
        </is>
      </c>
    </row>
    <row r="64">
      <c r="A64" s="3" t="inlineStr">
        <is>
          <t>vx estimator time constant</t>
        </is>
      </c>
      <c r="B64" s="3" t="inlineStr">
        <is>
          <t>tau_vx</t>
        </is>
      </c>
      <c r="C64" s="3" t="inlineStr">
        <is>
          <t>sensors.vcu.vx_tau</t>
        </is>
      </c>
      <c r="D64" s="3" t="inlineStr">
        <is>
          <t>How fast the wheel-speed measurement pulls the ground-speed estimate.</t>
        </is>
      </c>
      <c r="E64" s="4" t="inlineStr">
        <is>
          <t>0.15</t>
        </is>
      </c>
      <c r="F64" s="3" t="inlineStr">
        <is>
          <t>s</t>
        </is>
      </c>
      <c r="G64" s="3" t="inlineStr">
        <is>
          <t>TUNED (sim)</t>
        </is>
      </c>
      <c r="H64" s="3" t="inlineStr">
        <is>
          <t>-</t>
        </is>
      </c>
      <c r="I64" s="3" t="inlineStr">
        <is>
          <t>Corner exit at high throttle — shortest tau that still rides out a spin event</t>
        </is>
      </c>
      <c r="J64" s="3" t="inlineStr">
        <is>
          <t>Short enough that the estimate cannot drift far on the accelerometer alone, long enough that one quantization LSB of wheel speed does not shake the slip ratios a traction guard reads. Applied as dt/(dt+tau), so the filter behaves identically at the 100 Hz VCU rate and the 4 kHz rate verify I4 uses.</t>
        </is>
      </c>
    </row>
    <row r="65">
      <c r="A65" s="3" t="inlineStr">
        <is>
          <t>Wheel-speed scatter reference</t>
        </is>
      </c>
      <c r="B65" s="3" t="inlineStr">
        <is>
          <t>-</t>
        </is>
      </c>
      <c r="C65" s="3" t="inlineStr">
        <is>
          <t>sensors.vcu.vx_spread_ref</t>
        </is>
      </c>
      <c r="D65" s="3" t="inlineStr">
        <is>
          <t>Spread between fastest and slowest wheel (as ground speed) at which the estimator stops trusting the wheels and coasts on the accelerometer.</t>
        </is>
      </c>
      <c r="E65" s="4" t="inlineStr">
        <is>
          <t>1.5</t>
        </is>
      </c>
      <c r="F65" s="3" t="inlineStr">
        <is>
          <t>m/s</t>
        </is>
      </c>
      <c r="G65" s="3" t="inlineStr">
        <is>
          <t>TUNED (sim)</t>
        </is>
      </c>
      <c r="H65" s="3" t="inlineStr">
        <is>
          <t>-</t>
        </is>
      </c>
      <c r="I65" s="3" t="inlineStr">
        <is>
          <t>Track tests — the largest HONEST spread that corner geometry produces</t>
        </is>
      </c>
      <c r="J65" s="3" t="inlineStr">
        <is>
          <t>With four DRIVEN wheels there is no undriven reference left: under power every wheel over-reads, so min(w)*r_wheel is no longer a lower bound on ground speed. Scatter is the signal that says "some corner is slipping". 1.5 m/s sits above the r*track difference real cornering produces (about 0.6 m/s at 1 rad/s) and below a genuine spin event.</t>
        </is>
      </c>
    </row>
    <row r="66">
      <c r="A66" s="2" t="inlineStr">
        <is>
          <t>SENSORS — APPS, accelerator pedal position</t>
        </is>
      </c>
    </row>
    <row r="67">
      <c r="A67" s="3" t="inlineStr">
        <is>
          <t>APPS quantization</t>
        </is>
      </c>
      <c r="B67" s="3" t="inlineStr">
        <is>
          <t>-</t>
        </is>
      </c>
      <c r="C67" s="3" t="inlineStr">
        <is>
          <t>sensors.throttle_pos.quant_pct</t>
        </is>
      </c>
      <c r="D67" s="3" t="inlineStr">
        <is>
          <t>Accelerator pedal position resolution.</t>
        </is>
      </c>
      <c r="E67" s="4" t="inlineStr">
        <is>
          <t>0.5</t>
        </is>
      </c>
      <c r="F67" s="3" t="inlineStr">
        <is>
          <t>%/LSB</t>
        </is>
      </c>
      <c r="G67" s="7" t="inlineStr">
        <is>
          <t>PLACEHOLDER — sensor spec</t>
        </is>
      </c>
      <c r="H67" s="3" t="inlineStr">
        <is>
          <t>APPS sensor spec</t>
        </is>
      </c>
      <c r="I67" s="3" t="inlineStr">
        <is>
          <t>Datasheet</t>
        </is>
      </c>
      <c r="J67" s="3" t="inlineStr">
        <is>
          <t>Torque request granularity.</t>
        </is>
      </c>
    </row>
    <row r="68">
      <c r="A68" s="2" t="inlineStr">
        <is>
          <t>SENSORS — BPS, brake pressure</t>
        </is>
      </c>
    </row>
    <row r="69">
      <c r="A69" s="3" t="inlineStr">
        <is>
          <t>BPS full range</t>
        </is>
      </c>
      <c r="B69" s="3" t="inlineStr">
        <is>
          <t>-</t>
        </is>
      </c>
      <c r="C69" s="3" t="inlineStr">
        <is>
          <t>sensors.brake_pressure_sens.range_bar</t>
        </is>
      </c>
      <c r="D69" s="3" t="inlineStr">
        <is>
          <t>Brake pressure sensor full range.</t>
        </is>
      </c>
      <c r="E69" s="4" t="inlineStr">
        <is>
          <t>100</t>
        </is>
      </c>
      <c r="F69" s="3" t="inlineStr">
        <is>
          <t>bar</t>
        </is>
      </c>
      <c r="G69" s="7" t="inlineStr">
        <is>
          <t>PLACEHOLDER — sensor spec</t>
        </is>
      </c>
      <c r="H69" s="3" t="inlineStr">
        <is>
          <t>BPS spec + brake system pressures</t>
        </is>
      </c>
      <c r="I69" s="3" t="inlineStr">
        <is>
          <t>Brake team: line pressure at threshold/full braking</t>
        </is>
      </c>
      <c r="J69" s="3" t="inlineStr">
        <is>
          <t>Sets the pressure that maps to full regen.</t>
        </is>
      </c>
    </row>
    <row r="70">
      <c r="A70" s="3" t="inlineStr">
        <is>
          <t>BPS quantization</t>
        </is>
      </c>
      <c r="B70" s="3" t="inlineStr">
        <is>
          <t>-</t>
        </is>
      </c>
      <c r="C70" s="3" t="inlineStr">
        <is>
          <t>sensors.brake_pressure_sens.quant_bar</t>
        </is>
      </c>
      <c r="D70" s="3" t="inlineStr">
        <is>
          <t>Brake pressure sensor resolution.</t>
        </is>
      </c>
      <c r="E70" s="4" t="inlineStr">
        <is>
          <t>0.5</t>
        </is>
      </c>
      <c r="F70" s="3" t="inlineStr">
        <is>
          <t>bar/LSB</t>
        </is>
      </c>
      <c r="G70" s="7" t="inlineStr">
        <is>
          <t>PLACEHOLDER — sensor spec</t>
        </is>
      </c>
      <c r="H70" s="3" t="inlineStr">
        <is>
          <t>BPS spec</t>
        </is>
      </c>
      <c r="I70" s="3" t="inlineStr">
        <is>
          <t>Datasheet</t>
        </is>
      </c>
      <c r="J70" s="3" t="inlineStr">
        <is>
          <t>Regen command granularity.</t>
        </is>
      </c>
    </row>
    <row r="71">
      <c r="A71" s="3" t="inlineStr">
        <is>
          <t>BPS actuated threshold</t>
        </is>
      </c>
      <c r="B71" s="3" t="inlineStr">
        <is>
          <t>-</t>
        </is>
      </c>
      <c r="C71" s="3" t="inlineStr">
        <is>
          <t>sensors.brake_pressure_sens.actuated_bar</t>
        </is>
      </c>
      <c r="D71" s="3" t="inlineStr">
        <is>
          <t>Pressure above which the brake counts as "actuated" for the rules check.</t>
        </is>
      </c>
      <c r="E71" s="4" t="inlineStr">
        <is>
          <t>3</t>
        </is>
      </c>
      <c r="F71" s="3" t="inlineStr">
        <is>
          <t>bar</t>
        </is>
      </c>
      <c r="G71" s="7" t="inlineStr">
        <is>
          <t>PLACEHOLDER — calibration choice</t>
        </is>
      </c>
      <c r="H71" s="3" t="inlineStr">
        <is>
          <t>Brake system pressures</t>
        </is>
      </c>
      <c r="I71" s="3" t="inlineStr">
        <is>
          <t>Brake team: line pressure at threshold braking</t>
        </is>
      </c>
      <c r="J71" s="3" t="inlineStr">
        <is>
          <t>Defines "braking" for the EV.4.7 plausibility check.</t>
        </is>
      </c>
    </row>
    <row r="72">
      <c r="A72" s="3" t="inlineStr">
        <is>
          <t>Max regen torque</t>
        </is>
      </c>
      <c r="B72" s="3" t="inlineStr">
        <is>
          <t>-</t>
        </is>
      </c>
      <c r="C72" s="3" t="inlineStr">
        <is>
          <t>sensors.brake_pressure_sens.t_regen_max</t>
        </is>
      </c>
      <c r="D72" s="3" t="inlineStr">
        <is>
          <t>Total REGEN torque at full brake pressure, across ALL driven wheels.</t>
        </is>
      </c>
      <c r="E72" s="4" t="inlineStr">
        <is>
          <t>250</t>
        </is>
      </c>
      <c r="F72" s="3" t="inlineStr">
        <is>
          <t>N*m</t>
        </is>
      </c>
      <c r="G72" s="7" t="inlineStr">
        <is>
          <t>PLACEHOLDER — battery charge limit sets this</t>
        </is>
      </c>
      <c r="H72" s="3" t="inlineStr">
        <is>
          <t>Allowed charge current -&gt; torque</t>
        </is>
      </c>
      <c r="I72" s="3" t="inlineStr">
        <is>
          <t>Accumulator team: max charge C-rate</t>
        </is>
      </c>
      <c r="J72" s="3" t="inlineStr">
        <is>
          <t>Caps how much "braking" the sim's BPS can command.</t>
        </is>
      </c>
    </row>
    <row r="73">
      <c r="A73" s="2" t="inlineStr">
        <is>
          <t>SENSORS — WSS, motor resolver over CAN</t>
        </is>
      </c>
    </row>
    <row r="74">
      <c r="A74" s="3" t="inlineStr">
        <is>
          <t>WSS quantization</t>
        </is>
      </c>
      <c r="B74" s="3" t="inlineStr">
        <is>
          <t>-</t>
        </is>
      </c>
      <c r="C74" s="3" t="inlineStr">
        <is>
          <t>sensors.wheel_speed.quant_rpm</t>
        </is>
      </c>
      <c r="D74" s="3" t="inlineStr">
        <is>
          <t>Motor-speed resolution over CAN (motor side, before the planetary divide).</t>
        </is>
      </c>
      <c r="E74" s="4" t="inlineStr">
        <is>
          <t>1</t>
        </is>
      </c>
      <c r="F74" s="3" t="inlineStr">
        <is>
          <t>rpm/LSB</t>
        </is>
      </c>
      <c r="G74" s="7" t="inlineStr">
        <is>
          <t>PLACEHOLDER — AMK CAN resolution</t>
        </is>
      </c>
      <c r="H74" s="3" t="inlineStr">
        <is>
          <t>AMK CAN speed resolution</t>
        </is>
      </c>
      <c r="I74" s="3" t="inlineStr">
        <is>
          <t>AMK CAN spec</t>
        </is>
      </c>
      <c r="J74" s="3" t="inlineStr">
        <is>
          <t>1 motor rpm is about 1.8 mm/s of ground speed — the resolver-over-CAN path is effectively noise-free wheel speed.</t>
        </is>
      </c>
    </row>
    <row r="75">
      <c r="A75" s="2" t="inlineStr">
        <is>
          <t>SENSORS — SAS, steering angle, and the steering map</t>
        </is>
      </c>
    </row>
    <row r="76">
      <c r="A76" s="3" t="inlineStr">
        <is>
          <t>Steering map A0 (intercept)</t>
        </is>
      </c>
      <c r="B76" s="3" t="inlineStr">
        <is>
          <t>A0</t>
        </is>
      </c>
      <c r="C76" s="3" t="inlineStr">
        <is>
          <t>sensors.steering_angle.map_a0</t>
        </is>
      </c>
      <c r="D76" s="3" t="inlineStr">
        <is>
          <t>Constant term of the handwheel -&gt; road-wheel polynomial.</t>
        </is>
      </c>
      <c r="E76" s="5" t="inlineStr">
        <is>
          <t>-0.0797</t>
        </is>
      </c>
      <c r="F76" s="3" t="inlineStr">
        <is>
          <t>deg (intercept)</t>
        </is>
      </c>
      <c r="G76" s="6" t="inlineStr">
        <is>
          <t>CURRENT CAR (team chart)</t>
        </is>
      </c>
      <c r="H76" s="3" t="inlineStr">
        <is>
          <t>The steering curve including RWheel</t>
        </is>
      </c>
      <c r="I76" s="3" t="inlineStr">
        <is>
          <t>Steering chart / kinematics sweep</t>
        </is>
      </c>
      <c r="J76" s="3" t="inlineStr">
        <is>
          <t>Subtracted out to center the map; kept so the raw fit stays visible.</t>
        </is>
      </c>
    </row>
    <row r="77">
      <c r="A77" s="3" t="inlineStr">
        <is>
          <t>Steering map A1 (linear)</t>
        </is>
      </c>
      <c r="B77" s="3" t="inlineStr">
        <is>
          <t>A1</t>
        </is>
      </c>
      <c r="C77" s="3" t="inlineStr">
        <is>
          <t>sensors.steering_angle.map_a1</t>
        </is>
      </c>
      <c r="D77" s="3" t="inlineStr">
        <is>
          <t>Linear term — the near-center steering ratio.</t>
        </is>
      </c>
      <c r="E77" s="5" t="inlineStr">
        <is>
          <t>0.31</t>
        </is>
      </c>
      <c r="F77" s="3" t="inlineStr">
        <is>
          <t>deg/deg</t>
        </is>
      </c>
      <c r="G77" s="6" t="inlineStr">
        <is>
          <t>CURRENT CAR (team chart)</t>
        </is>
      </c>
      <c r="H77" s="3" t="inlineStr">
        <is>
          <t>The steering curve including RWheel</t>
        </is>
      </c>
      <c r="I77" s="3" t="inlineStr">
        <is>
          <t>Steering chart / kinematics sweep</t>
        </is>
      </c>
      <c r="J77" s="3" t="inlineStr">
        <is>
          <t>How the VCU turns the SAS reading into a road-wheel angle.</t>
        </is>
      </c>
    </row>
    <row r="78">
      <c r="A78" s="3" t="inlineStr">
        <is>
          <t>Steering map A2 (quadratic)</t>
        </is>
      </c>
      <c r="B78" s="3" t="inlineStr">
        <is>
          <t>A2</t>
        </is>
      </c>
      <c r="C78" s="3" t="inlineStr">
        <is>
          <t>sensors.steering_angle.map_a2</t>
        </is>
      </c>
      <c r="D78" s="3" t="inlineStr">
        <is>
          <t>Quadratic term — the ratio falling off toward lock.</t>
        </is>
      </c>
      <c r="E78" s="5" t="inlineStr">
        <is>
          <t>-0.000844</t>
        </is>
      </c>
      <c r="F78" s="3" t="inlineStr">
        <is>
          <t>deg/deg^2</t>
        </is>
      </c>
      <c r="G78" s="6" t="inlineStr">
        <is>
          <t>CURRENT CAR (team chart; -844E-04 read as -8.44E-04)</t>
        </is>
      </c>
      <c r="H78" s="3" t="inlineStr">
        <is>
          <t>The steering curve including RWheel</t>
        </is>
      </c>
      <c r="I78" s="3" t="inlineStr">
        <is>
          <t>Steering chart / kinematics sweep</t>
        </is>
      </c>
      <c r="J78" s="3" t="inlineStr">
        <is>
          <t>Full lock 23 deg is about 103 deg of handwheel.</t>
        </is>
      </c>
    </row>
    <row r="79">
      <c r="A79" s="3" t="inlineStr">
        <is>
          <t>SAS quantization</t>
        </is>
      </c>
      <c r="B79" s="3" t="inlineStr">
        <is>
          <t>-</t>
        </is>
      </c>
      <c r="C79" s="3" t="inlineStr">
        <is>
          <t>sensors.steering_angle.quant_deg</t>
        </is>
      </c>
      <c r="D79" s="3" t="inlineStr">
        <is>
          <t>Steering-angle sensor resolution, at the handwheel.</t>
        </is>
      </c>
      <c r="E79" s="4" t="inlineStr">
        <is>
          <t>0.5</t>
        </is>
      </c>
      <c r="F79" s="3" t="inlineStr">
        <is>
          <t>deg/LSB</t>
        </is>
      </c>
      <c r="G79" s="7" t="inlineStr">
        <is>
          <t>PLACEHOLDER — sensor spec</t>
        </is>
      </c>
      <c r="H79" s="3" t="inlineStr">
        <is>
          <t>Sensor spec</t>
        </is>
      </c>
      <c r="I79" s="3" t="inlineStr">
        <is>
          <t>Datasheet of the chosen SAS</t>
        </is>
      </c>
      <c r="J79" s="3" t="inlineStr">
        <is>
          <t>Steering resolution the VCU actually sees.</t>
        </is>
      </c>
    </row>
    <row r="80">
      <c r="A80" s="2" t="inlineStr">
        <is>
          <t>SENSORS — IMU, yaw gyro and accelerometers</t>
        </is>
      </c>
    </row>
    <row r="81">
      <c r="A81" s="3" t="inlineStr">
        <is>
          <t>IMU gyro noise (1σ)</t>
        </is>
      </c>
      <c r="B81" s="3" t="inlineStr">
        <is>
          <t>sigma_g</t>
        </is>
      </c>
      <c r="C81" s="3" t="inlineStr">
        <is>
          <t>sensors.imu_6axis.gyro_noise_std</t>
        </is>
      </c>
      <c r="D81" s="3" t="inlineStr">
        <is>
          <t>Yaw-gyro 1-sigma noise.</t>
        </is>
      </c>
      <c r="E81" s="4" t="inlineStr">
        <is>
          <t>0.005236</t>
        </is>
      </c>
      <c r="F81" s="3" t="inlineStr">
        <is>
          <t>rad/s (entered as deg/s, 1 sigma)</t>
        </is>
      </c>
      <c r="G81" s="7" t="inlineStr">
        <is>
          <t>PLACEHOLDER — IMU spec</t>
        </is>
      </c>
      <c r="H81" s="3" t="inlineStr">
        <is>
          <t>IMU datasheet numbers</t>
        </is>
      </c>
      <c r="I81" s="3" t="inlineStr">
        <is>
          <t>Chosen IMU's spec sheet</t>
        </is>
      </c>
      <c r="J81" s="3" t="inlineStr">
        <is>
          <t>Goes straight into the TV feedback — sets how clean the yaw control can be.</t>
        </is>
      </c>
    </row>
    <row r="82">
      <c r="A82" s="3" t="inlineStr">
        <is>
          <t>IMU gyro bias</t>
        </is>
      </c>
      <c r="B82" s="3" t="inlineStr">
        <is>
          <t>b_g</t>
        </is>
      </c>
      <c r="C82" s="3" t="inlineStr">
        <is>
          <t>sensors.imu_6axis.gyro_bias</t>
        </is>
      </c>
      <c r="D82" s="3" t="inlineStr">
        <is>
          <t>Constant yaw-gyro zero offset.</t>
        </is>
      </c>
      <c r="E82" s="4" t="inlineStr">
        <is>
          <t>0.001745</t>
        </is>
      </c>
      <c r="F82" s="3" t="inlineStr">
        <is>
          <t>rad/s (entered as deg/s)</t>
        </is>
      </c>
      <c r="G82" s="7" t="inlineStr">
        <is>
          <t>PLACEHOLDER — uncalibrated bias</t>
        </is>
      </c>
      <c r="H82" s="3" t="inlineStr">
        <is>
          <t>IMU datasheet numbers</t>
        </is>
      </c>
      <c r="I82" s="3" t="inlineStr">
        <is>
          <t>Chosen IMU's spec sheet, then a stationary calibration on the car</t>
        </is>
      </c>
      <c r="J82" s="3" t="inlineStr">
        <is>
          <t>Biases the yaw-rate error the TV controller integrates.</t>
        </is>
      </c>
    </row>
    <row r="83">
      <c r="A83" s="3" t="inlineStr">
        <is>
          <t>VCU gyro low-pass</t>
        </is>
      </c>
      <c r="B83" s="3" t="inlineStr">
        <is>
          <t>f_c</t>
        </is>
      </c>
      <c r="C83" s="3" t="inlineStr">
        <is>
          <t>sensors.imu_6axis.lpf_hz</t>
        </is>
      </c>
      <c r="D83" s="3" t="inlineStr">
        <is>
          <t>First-order low-pass the VCU applies to the gyro before feedback.</t>
        </is>
      </c>
      <c r="E83" s="4" t="inlineStr">
        <is>
          <t>20</t>
        </is>
      </c>
      <c r="F83" s="3" t="inlineStr">
        <is>
          <t>Hz</t>
        </is>
      </c>
      <c r="G83" s="7" t="inlineStr">
        <is>
          <t>PLACEHOLDER — VCU filter choice</t>
        </is>
      </c>
      <c r="H83" s="3" t="inlineStr">
        <is>
          <t>-</t>
        </is>
      </c>
      <c r="I83" s="3" t="inlineStr">
        <is>
          <t>Software choice; tune against noise</t>
        </is>
      </c>
      <c r="J83" s="3" t="inlineStr">
        <is>
          <t>Trade: more filtering = less dither but more phase lag in the yaw loop.</t>
        </is>
      </c>
    </row>
    <row r="84">
      <c r="A84" s="3" t="inlineStr">
        <is>
          <t>IMU accel noise</t>
        </is>
      </c>
      <c r="B84" s="3" t="inlineStr">
        <is>
          <t>sigma_a</t>
        </is>
      </c>
      <c r="C84" s="3" t="inlineStr">
        <is>
          <t>sensors.imu_6axis.accel_noise_std</t>
        </is>
      </c>
      <c r="D84" s="3" t="inlineStr">
        <is>
          <t>Accelerometer 1-sigma noise (ax, ay channels).</t>
        </is>
      </c>
      <c r="E84" s="4" t="inlineStr">
        <is>
          <t>0.05</t>
        </is>
      </c>
      <c r="F84" s="3" t="inlineStr">
        <is>
          <t>m/s^2</t>
        </is>
      </c>
      <c r="G84" s="7" t="inlineStr">
        <is>
          <t>PLACEHOLDER — IMU spec</t>
        </is>
      </c>
      <c r="H84" s="3" t="inlineStr">
        <is>
          <t>IMU datasheet</t>
        </is>
      </c>
      <c r="I84" s="3" t="inlineStr">
        <is>
          <t>Spec sheet</t>
        </is>
      </c>
      <c r="J84" s="3" t="inlineStr">
        <is>
          <t>Feeds future estimation (vx observer, validation logging).</t>
        </is>
      </c>
    </row>
    <row r="85">
      <c r="A85" s="2" t="inlineStr">
        <is>
          <t>SOFTWARE-IN-THE-LOOP (sil/)</t>
        </is>
      </c>
    </row>
    <row r="86">
      <c r="A86" s="3" t="inlineStr">
        <is>
          <t>SIL firmware boot time</t>
        </is>
      </c>
      <c r="B86" s="3" t="inlineStr">
        <is>
          <t>-</t>
        </is>
      </c>
      <c r="C86" s="3" t="inlineStr">
        <is>
          <t>sil.boot_s</t>
        </is>
      </c>
      <c r="D86" s="3" t="inlineStr">
        <is>
          <t>How long the real firmware is left to boot — bench check (55 ms) plus the ADC settle loop (1 s) — before a maneuver's t = 0, measured on the firmware's own clock.</t>
        </is>
      </c>
      <c r="E86" s="4" t="inlineStr">
        <is>
          <t>1.5</t>
        </is>
      </c>
      <c r="F86" s="3" t="inlineStr">
        <is>
          <t>s</t>
        </is>
      </c>
      <c r="G86" s="7" t="inlineStr">
        <is>
          <t>PLACEHOLDER — from main.c / initializations.c</t>
        </is>
      </c>
      <c r="H86" s="3" t="inlineStr">
        <is>
          <t>The firmware's true settle time</t>
        </is>
      </c>
      <c r="I86" s="3" t="inlineStr">
        <is>
          <t>Read main.c / initializations.c, or instrument the boot</t>
        </is>
      </c>
      <c r="J86" s="3" t="inlineStr">
        <is>
          <t>Too short and the first samples come from an unsettled ADC.</t>
        </is>
      </c>
    </row>
    <row r="87">
      <c r="A87" s="2" t="inlineStr">
        <is>
          <t>NUMERICAL GUARDS</t>
        </is>
      </c>
    </row>
    <row r="88">
      <c r="A88" s="3" t="inlineStr">
        <is>
          <t>Low-speed guard</t>
        </is>
      </c>
      <c r="B88" s="3" t="inlineStr">
        <is>
          <t>v_eps</t>
        </is>
      </c>
      <c r="C88" s="3" t="inlineStr">
        <is>
          <t>numerical.v_eps</t>
        </is>
      </c>
      <c r="D88" s="3" t="inlineStr">
        <is>
          <t>Minimum speed used in slip-angle / slip-ratio denominators.</t>
        </is>
      </c>
      <c r="E88" s="4" t="inlineStr">
        <is>
          <t>0.5</t>
        </is>
      </c>
      <c r="F88" s="3" t="inlineStr">
        <is>
          <t>m/s</t>
        </is>
      </c>
      <c r="G88" s="3" t="inlineStr">
        <is>
          <t>NUMERICAL GUARD</t>
        </is>
      </c>
      <c r="H88" s="3" t="inlineStr">
        <is>
          <t>-</t>
        </is>
      </c>
      <c r="I88" s="3" t="inlineStr">
        <is>
          <t>-</t>
        </is>
      </c>
      <c r="J88" s="3" t="inlineStr">
        <is>
          <t>Below ~0.5 m/s wheel-slip math is untrustworthy — launches are out of scope until reworked.</t>
        </is>
      </c>
    </row>
    <row r="89">
      <c r="A89" s="3" t="inlineStr">
        <is>
          <t>Wheel-speed guard</t>
        </is>
      </c>
      <c r="B89" s="3" t="inlineStr">
        <is>
          <t>w_eps</t>
        </is>
      </c>
      <c r="C89" s="3" t="inlineStr">
        <is>
          <t>numerical.w_eps</t>
        </is>
      </c>
      <c r="D89" s="3" t="inlineStr">
        <is>
          <t>Floor on |wheel speed| when converting a per-motor POWER limit into a torque limit (T_lim = P_peak / max(|omega|, w_eps)).</t>
        </is>
      </c>
      <c r="E89" s="4" t="inlineStr">
        <is>
          <t>5</t>
        </is>
      </c>
      <c r="F89" s="3" t="inlineStr">
        <is>
          <t>rad/s</t>
        </is>
      </c>
      <c r="G89" s="3" t="inlineStr">
        <is>
          <t>NUMERICAL GUARD</t>
        </is>
      </c>
      <c r="H89" s="3" t="inlineStr">
        <is>
          <t>Nothing (numerical)</t>
        </is>
      </c>
      <c r="I89" s="3" t="inlineStr">
        <is>
          <t>-</t>
        </is>
      </c>
      <c r="J89" s="3" t="inlineStr">
        <is>
          <t>P = T*omega, so at standstill the power limit permits infinite torque. Flooring the divisor caps it at P_peak/w_eps instead, which the per-wheel peak-torque limit then covers. 5 rad/s is ~1.1 m/s of ground speed, below the regen cutoff, so it never binds while the car is actually driving.</t>
        </is>
      </c>
    </row>
    <row r="91">
      <c r="A91" s="8" t="inlineStr">
        <is>
          <t>Legend:</t>
        </is>
      </c>
      <c r="B91" s="9" t="inlineStr">
        <is>
          <t>GREEN value = confirmed for the CURRENT car/driver (or MEASURED). Black = report car, guess, rules, or sim-tuned. Orange status = placeholder/needs attention. Every row is generated from a params.yaml file — edit the number there, not here.</t>
        </is>
      </c>
    </row>
  </sheetData>
  <autoFilter ref="A1:J1"/>
  <mergeCells count="17">
    <mergeCell ref="A44:J44"/>
    <mergeCell ref="A85:J85"/>
    <mergeCell ref="A5:J5"/>
    <mergeCell ref="A75:J75"/>
    <mergeCell ref="A80:J80"/>
    <mergeCell ref="A31:J31"/>
    <mergeCell ref="A40:J40"/>
    <mergeCell ref="A9:J9"/>
    <mergeCell ref="A2:J2"/>
    <mergeCell ref="A87:J87"/>
    <mergeCell ref="A59:J59"/>
    <mergeCell ref="A38:J38"/>
    <mergeCell ref="A16:J16"/>
    <mergeCell ref="A73:J73"/>
    <mergeCell ref="B91:J91"/>
    <mergeCell ref="A68:J68"/>
    <mergeCell ref="A66:J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48" customWidth="1" min="4" max="4"/>
    <col width="42" customWidth="1" min="5" max="5"/>
    <col width="44" customWidth="1" min="6" max="6"/>
    <col width="52" customWidth="1" min="7" max="7"/>
  </cols>
  <sheetData>
    <row r="1">
      <c r="A1" s="1" t="inlineStr">
        <is>
          <t>Signal</t>
        </is>
      </c>
      <c r="B1" s="1" t="inlineStr">
        <is>
          <t>Symbol</t>
        </is>
      </c>
      <c r="C1" s="1" t="inlineStr">
        <is>
          <t>Where in the code</t>
        </is>
      </c>
      <c r="D1" s="1" t="inlineStr">
        <is>
          <t>What it is</t>
        </is>
      </c>
      <c r="E1" s="1" t="inlineStr">
        <is>
          <t>How the sim gets it</t>
        </is>
      </c>
      <c r="F1" s="1" t="inlineStr">
        <is>
          <t>How we'd measure it on the real car</t>
        </is>
      </c>
      <c r="G1" s="1" t="inlineStr">
        <is>
          <t>Why it matters</t>
        </is>
      </c>
    </row>
    <row r="2">
      <c r="A2" s="3" t="inlineStr">
        <is>
          <t>Slip angle</t>
        </is>
      </c>
      <c r="B2" s="3" t="inlineStr">
        <is>
          <t>α</t>
        </is>
      </c>
      <c r="C2" s="3" t="inlineStr">
        <is>
          <t>alpha (vehicle.py)</t>
        </is>
      </c>
      <c r="D2" s="3" t="inlineStr">
        <is>
          <t>Angle between where a wheel POINTS and where its contact patch actually TRAVELS. The input that generates lateral force.</t>
        </is>
      </c>
      <c r="E2" s="3" t="inlineStr">
        <is>
          <t>Computed every step per wheel: α = −atan2(v_lateral, v_forward) at the contact patch</t>
        </is>
      </c>
      <c r="F2" s="3" t="inlineStr">
        <is>
          <t>Not directly measurable cheaply — estimated from IMU + steering angle; optical sensors (Kistler) exist but cost more than the car</t>
        </is>
      </c>
      <c r="G2" s="3" t="inlineStr">
        <is>
          <t>Every tire always runs some slip angle — that IS how it grips. Past ~11.6° (placeholder peak) more angle = less force.</t>
        </is>
      </c>
    </row>
    <row r="3">
      <c r="A3" s="3" t="inlineStr">
        <is>
          <t>Slip ratio</t>
        </is>
      </c>
      <c r="B3" s="3" t="inlineStr">
        <is>
          <t>κ</t>
        </is>
      </c>
      <c r="C3" s="3" t="inlineStr">
        <is>
          <t>kappa (vehicle.py)</t>
        </is>
      </c>
      <c r="D3" s="3" t="inlineStr">
        <is>
          <t>How much faster the wheel SURFACE moves than the ground: κ = (ω·r_w − v)/v. Positive = wheelspin side.</t>
        </is>
      </c>
      <c r="E3" s="3" t="inlineStr">
        <is>
          <t>Computed per driven wheel from its spin state and contact-patch speed</t>
        </is>
      </c>
      <c r="F3" s="3" t="inlineStr">
        <is>
          <t>Motor resolver speed (AMK reports it over CAN) ÷ gear ratio vs estimated ground speed</t>
        </is>
      </c>
      <c r="G3" s="3" t="inlineStr">
        <is>
          <t>The s-diff's whole world. Past the peak (~0.10) the wheel runs away — that's wheelspin, and it emerges from the ODE, no if-statement.</t>
        </is>
      </c>
    </row>
    <row r="4">
      <c r="A4" s="3" t="inlineStr">
        <is>
          <t>Wheel spin speeds</t>
        </is>
      </c>
      <c r="B4" s="3" t="inlineStr">
        <is>
          <t>ω_FL, ω_FR, ω_RL, ω_RR</t>
        </is>
      </c>
      <c r="C4" s="3" t="inlineStr">
        <is>
          <t>states 7–10</t>
        </is>
      </c>
      <c r="D4" s="3" t="inlineStr">
        <is>
          <t>Wheel rotational speeds, one per corner — real states with their own differential equation I·ω̇ = T − r·Fx.</t>
        </is>
      </c>
      <c r="E4" s="3" t="inlineStr">
        <is>
          <t>Integrated by RK4 like everything else</t>
        </is>
      </c>
      <c r="F4" s="3" t="inlineStr">
        <is>
          <t>AMK motor resolvers over CAN (÷ gear ratio) — free, accurate, fast</t>
        </is>
      </c>
      <c r="G4" s="3" t="inlineStr">
        <is>
          <t>The signal the real s-diff will actually control. Sensor already exists in the motors.</t>
        </is>
      </c>
    </row>
    <row r="5">
      <c r="A5" s="3" t="inlineStr">
        <is>
          <t>Yaw rate</t>
        </is>
      </c>
      <c r="B5" s="3" t="inlineStr">
        <is>
          <t>r</t>
        </is>
      </c>
      <c r="C5" s="3" t="inlineStr">
        <is>
          <t>state 6</t>
        </is>
      </c>
      <c r="D5" s="3" t="inlineStr">
        <is>
          <t>How fast the car rotates about vertical. Left turn positive.</t>
        </is>
      </c>
      <c r="E5" s="3" t="inlineStr">
        <is>
          <t>Integrated from Iz·ṙ = ΣMz</t>
        </is>
      </c>
      <c r="F5" s="3" t="inlineStr">
        <is>
          <t>IMU gyro (any automotive-grade IMU; the VCU needs one anyway)</t>
        </is>
      </c>
      <c r="G5" s="3" t="inlineStr">
        <is>
          <t>Sets the s-diff wheel-speed target (r·track/r_wheel). Its sensor is a non-negotiable hardware item.</t>
        </is>
      </c>
    </row>
    <row r="6">
      <c r="A6" s="3" t="inlineStr">
        <is>
          <t>Body velocities</t>
        </is>
      </c>
      <c r="B6" s="3" t="inlineStr">
        <is>
          <t>vx, vy</t>
        </is>
      </c>
      <c r="C6" s="3" t="inlineStr">
        <is>
          <t>states 4–5</t>
        </is>
      </c>
      <c r="D6" s="3" t="inlineStr">
        <is>
          <t>Forward and sideways speed of the CG in the car's own frame.</t>
        </is>
      </c>
      <c r="E6" s="3" t="inlineStr">
        <is>
          <t>Integrated from the force balance</t>
        </is>
      </c>
      <c r="F6" s="3" t="inlineStr">
        <is>
          <t>vx: wheel speeds + IMU fusion (or GPS); vy: estimated (observer) — no cheap direct sensor</t>
        </is>
      </c>
      <c r="G6" s="3" t="inlineStr">
        <is>
          <t>vx feeds the slip math; vy is why sideslip needs estimation on the real car.</t>
        </is>
      </c>
    </row>
    <row r="7">
      <c r="A7" s="3" t="inlineStr">
        <is>
          <t>Body sideslip</t>
        </is>
      </c>
      <c r="B7" s="3" t="inlineStr">
        <is>
          <t>β</t>
        </is>
      </c>
      <c r="C7" s="3" t="inlineStr">
        <is>
          <t>beta (logged)</t>
        </is>
      </c>
      <c r="D7" s="3" t="inlineStr">
        <is>
          <t>Angle between where the car POINTS and where it TRAVELS: β = atan(vy/vx). Big β = the rear stepping out.</t>
        </is>
      </c>
      <c r="E7" s="3" t="inlineStr">
        <is>
          <t>Computed from vy/vx</t>
        </is>
      </c>
      <c r="F7" s="3" t="inlineStr">
        <is>
          <t>Estimated (IMU + model observer); optical ground-speed sensors measure it directly but are exotic</t>
        </is>
      </c>
      <c r="G7" s="3" t="inlineStr">
        <is>
          <t>The honest 'is the car sliding' number.</t>
        </is>
      </c>
    </row>
    <row r="8">
      <c r="A8" s="3" t="inlineStr">
        <is>
          <t>Vertical loads</t>
        </is>
      </c>
      <c r="B8" s="3" t="inlineStr">
        <is>
          <t>Fz (×4)</t>
        </is>
      </c>
      <c r="C8" s="3" t="inlineStr">
        <is>
          <t>wheel_loads() (vehicle.py)</t>
        </is>
      </c>
      <c r="D8" s="3" t="inlineStr">
        <is>
          <t>Weight on each tire right now: static + downforce + longitudinal &amp; lateral load transfer.</t>
        </is>
      </c>
      <c r="E8" s="3" t="inlineStr">
        <is>
          <t>Algebraic from ax, ay, speed each step (quasi-static, 3-iteration loop)</t>
        </is>
      </c>
      <c r="F8" s="3" t="inlineStr">
        <is>
          <t>Suspension load cells or pushrod strain gauges (nice-to-have); corner scales give the static part</t>
        </is>
      </c>
      <c r="G8" s="3" t="inlineStr">
        <is>
          <t>Grip is proportional to load (minus load sensitivity) — every force the tire model produces starts from Fz.</t>
        </is>
      </c>
    </row>
    <row r="9">
      <c r="A9" s="3" t="inlineStr">
        <is>
          <t>Tire forces</t>
        </is>
      </c>
      <c r="B9" s="3" t="inlineStr">
        <is>
          <t>Fx, Fy (×4)</t>
        </is>
      </c>
      <c r="C9" s="3" t="inlineStr">
        <is>
          <t>tire_forces() (vehicle.py)</t>
        </is>
      </c>
      <c r="D9" s="3" t="inlineStr">
        <is>
          <t>What each contact patch pushes on the ground: drive/brake (Fx) and cornering (Fy).</t>
        </is>
      </c>
      <c r="E9" s="3" t="inlineStr">
        <is>
          <t>Magic Formula from (α, κ, Fz), capped by the friction circle √(Fx²+Fy²) ≤ µFz</t>
        </is>
      </c>
      <c r="F9" s="3" t="inlineStr">
        <is>
          <t>Not directly measurable — inferred from IMU accelerations and wheel torques</t>
        </is>
      </c>
      <c r="G9" s="3" t="inlineStr">
        <is>
          <t>The only place the car touches the world. Everything else is bookkeeping around these eight numbers.</t>
        </is>
      </c>
    </row>
    <row r="10">
      <c r="A10" s="3" t="inlineStr">
        <is>
          <t>Friction utilization</t>
        </is>
      </c>
      <c r="B10" s="3" t="inlineStr">
        <is>
          <t>—</t>
        </is>
      </c>
      <c r="C10" s="3" t="inlineStr">
        <is>
          <t>verify.py audit</t>
        </is>
      </c>
      <c r="D10" s="3" t="inlineStr">
        <is>
          <t>How much of a tire's total grip budget is in use: √(Fx²+Fy²)/(µFz). 1.00 = on the limit.</t>
        </is>
      </c>
      <c r="E10" s="3" t="inlineStr">
        <is>
          <t>Computed in the audit/replay from the forces</t>
        </is>
      </c>
      <c r="F10" s="3" t="inlineStr">
        <is>
          <t>Inferred (same as forces)</t>
        </is>
      </c>
      <c r="G10" s="3" t="inlineStr">
        <is>
          <t>The corner-exit test runs the rear axle at 1.00 — meaning results live on the guessed part of the tire curve.</t>
        </is>
      </c>
    </row>
    <row r="11">
      <c r="A11" s="3" t="inlineStr">
        <is>
          <t>Accelerations</t>
        </is>
      </c>
      <c r="B11" s="3" t="inlineStr">
        <is>
          <t>ax, ay</t>
        </is>
      </c>
      <c r="C11" s="3" t="inlineStr">
        <is>
          <t>logged</t>
        </is>
      </c>
      <c r="D11" s="3" t="inlineStr">
        <is>
          <t>Specific forces on the body (what an accelerometer strapped to the car would read).</t>
        </is>
      </c>
      <c r="E11" s="3" t="inlineStr">
        <is>
          <t>ΣF/m each step</t>
        </is>
      </c>
      <c r="F11" s="3" t="inlineStr">
        <is>
          <t>IMU accelerometer — cheap, already needed</t>
        </is>
      </c>
      <c r="G11" s="3" t="inlineStr">
        <is>
          <t>ay·vx-vs-yaw-rate cross-checks (ay = r·vx steady state) are how sim vs real-car validation will start.</t>
        </is>
      </c>
    </row>
    <row r="12">
      <c r="A12" s="3" t="inlineStr">
        <is>
          <t>Yaw moment</t>
        </is>
      </c>
      <c r="B12" s="3" t="inlineStr">
        <is>
          <t>Mz</t>
        </is>
      </c>
      <c r="C12" s="3" t="inlineStr">
        <is>
          <t>derivatives() (vehicle.py)</t>
        </is>
      </c>
      <c r="D12" s="3" t="inlineStr">
        <is>
          <t>Net twisting moment about the CG from all eight tire force components.</t>
        </is>
      </c>
      <c r="E12" s="3" t="inlineStr">
        <is>
          <t>Mz = Σ(x·Fy − y·Fx) over the four wheels</t>
        </is>
      </c>
      <c r="F12" s="3" t="inlineStr">
        <is>
          <t>Not measurable directly — its EFFECT (yaw acceleration) is, via the gyro</t>
        </is>
      </c>
      <c r="G12" s="3" t="inlineStr">
        <is>
          <t>(track/2)·ΔFx of it comes from the torque split.</t>
        </is>
      </c>
    </row>
    <row r="13">
      <c r="A13" s="3" t="inlineStr">
        <is>
          <t>Wheel-speed-difference target</t>
        </is>
      </c>
      <c r="B13" s="3" t="inlineStr">
        <is>
          <t>Δω_target</t>
        </is>
      </c>
      <c r="C13" s="3" t="inlineStr">
        <is>
          <t>sil/vcu_sil.py</t>
        </is>
      </c>
      <c r="D13" s="3" t="inlineStr">
        <is>
          <t>The rear-wheel speed difference corner geometry requires: r·track/r_wheel.</t>
        </is>
      </c>
      <c r="E13" s="3" t="inlineStr">
        <is>
          <t>Computed from measured yaw rate each controller update</t>
        </is>
      </c>
      <c r="F13" s="3" t="inlineStr">
        <is>
          <t>Derived from the gyro on the real car</t>
        </is>
      </c>
      <c r="G13" s="3" t="inlineStr">
        <is>
          <t>The s-diff's setpoint: allow exactly this difference, fight spin beyond it.</t>
        </is>
      </c>
    </row>
    <row r="14">
      <c r="A14" s="3" t="inlineStr">
        <is>
          <t>Torque split</t>
        </is>
      </c>
      <c r="B14" s="3" t="inlineStr">
        <is>
          <t>ΔT</t>
        </is>
      </c>
      <c r="C14" s="3" t="inlineStr">
        <is>
          <t>sdiff.c (VCU firmware)</t>
        </is>
      </c>
      <c r="D14" s="3" t="inlineStr">
        <is>
          <t>The left/right torque difference the firmware commands: T_RR − T_RL.</t>
        </is>
      </c>
      <c r="E14" s="3" t="inlineStr">
        <is>
          <t>Firmware output every VCU cycle</t>
        </is>
      </c>
      <c r="F14" s="3" t="inlineStr">
        <is>
          <t>Commanded over CAN to the inverters as a current per motor</t>
        </is>
      </c>
      <c r="G14" s="3" t="inlineStr">
        <is>
          <t>The single actuator this whole project exists to command.</t>
        </is>
      </c>
    </row>
    <row r="15">
      <c r="A15" s="3" t="inlineStr">
        <is>
          <t>Wheel torques</t>
        </is>
      </c>
      <c r="B15" s="3" t="inlineStr">
        <is>
          <t>T_FL, T_FR, T_RL, T_RR</t>
        </is>
      </c>
      <c r="C15" s="3" t="inlineStr">
        <is>
          <t>sil/vcu_sil.py</t>
        </is>
      </c>
      <c r="D15" s="3" t="inlineStr">
        <is>
          <t>Per-wheel torque the plant receives: the firmware's rear current commands × Kt × gear, mirrored onto the fronts when four wheels are driven.</t>
        </is>
      </c>
      <c r="E15" s="3" t="inlineStr">
        <is>
          <t>mA command from the firmware, converted each VCU cycle</t>
        </is>
      </c>
      <c r="F15" s="3" t="inlineStr">
        <is>
          <t>Inverters report actual current over CAN</t>
        </is>
      </c>
      <c r="G15" s="3" t="inlineStr">
        <is>
          <t>What actually gets applied. Kt is a placeholder, so absolute torque scales with it.</t>
        </is>
      </c>
    </row>
    <row r="16">
      <c r="A16" s="3" t="inlineStr">
        <is>
          <t>Total drive power</t>
        </is>
      </c>
      <c r="B16" s="3" t="inlineStr">
        <is>
          <t>P</t>
        </is>
      </c>
      <c r="C16" s="3" t="inlineStr">
        <is>
          <t>logged</t>
        </is>
      </c>
      <c r="D16" s="3" t="inlineStr">
        <is>
          <t>Mechanical power at the wheels: Σ T_i·ω_i over the four wheels.</t>
        </is>
      </c>
      <c r="E16" s="3" t="inlineStr">
        <is>
          <t>Computed from torques × speeds</t>
        </is>
      </c>
      <c r="F16" s="3" t="inlineStr">
        <is>
          <t>Rules energy meter measures the electrical version at the accumulator</t>
        </is>
      </c>
      <c r="G16" s="3" t="inlineStr">
        <is>
          <t>The 80 kW rules cap lives here (sim: mechanical; real: electrical — real car hits it ~10–15% sooner).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  <col width="40" customWidth="1" min="4" max="4"/>
    <col width="60" customWidth="1" min="5" max="5"/>
    <col width="40" customWidth="1" min="6" max="6"/>
  </cols>
  <sheetData>
    <row r="1">
      <c r="A1" s="1" t="inlineStr">
        <is>
          <t>Test</t>
        </is>
      </c>
      <c r="B1" s="1" t="inlineStr">
        <is>
          <t>Current test point</t>
        </is>
      </c>
      <c r="C1" s="1" t="inlineStr">
        <is>
          <t>What it measures</t>
        </is>
      </c>
      <c r="D1" s="1" t="inlineStr">
        <is>
          <t>How it works</t>
        </is>
      </c>
      <c r="E1" s="1" t="inlineStr">
        <is>
          <t>The numbers we want (and what good looks like)</t>
        </is>
      </c>
      <c r="F1" s="1" t="inlineStr">
        <is>
          <t>Expected outcome</t>
        </is>
      </c>
    </row>
    <row r="2">
      <c r="A2" s="3" t="inlineStr">
        <is>
          <t>Step steer</t>
        </is>
      </c>
      <c r="B2" s="3" t="inlineStr">
        <is>
          <t>5° step at 15 m/s, torque holds speed</t>
        </is>
      </c>
      <c r="C2" s="3" t="inlineStr">
        <is>
          <t>How the car answers a sudden steering input: rise time, overshoot, steady-state accuracy.</t>
        </is>
      </c>
      <c r="D2" s="3" t="inlineStr">
        <is>
          <t>Straight running, then a fast (~0.1 s) ramp to a fixed steer angle, held to the end.</t>
        </is>
      </c>
      <c r="E2" s="3" t="inlineStr">
        <is>
          <t>NO overshoot/oscillation in the yaw trace (oscillation = gains too hot). Sideslip β &lt; ~1°.</t>
        </is>
      </c>
      <c r="F2" s="3" t="inlineStr">
        <is>
          <t>All configs stable.</t>
        </is>
      </c>
    </row>
    <row r="3">
      <c r="A3" s="3" t="inlineStr">
        <is>
          <t>Corner exit (power on)</t>
        </is>
      </c>
      <c r="B3" s="3" t="inlineStr">
        <is>
          <t>8° corner at 10 m/s, throttle ramp to 45% of peak, unwind</t>
        </is>
      </c>
      <c r="C3" s="3" t="inlineStr">
        <is>
          <t>Traction management — the s-diff's reason to exist: put power down mid-corner without spinning the unloaded inner wheel or the car.</t>
        </is>
      </c>
      <c r="D3" s="3" t="inlineStr">
        <is>
          <t>Turn in, steady corner, then throttle ramps in exactly when the inner rear is lightest, wheel unwinding on exit.</t>
        </is>
      </c>
      <c r="E3" s="3" t="inlineStr">
        <is>
          <t>MAX SLIP RATIO κ on the inner rear — the headline. Must stay under the tire peak κ≈0.10. At the 23° envelope test: open diff κ=67 (violent spin) vs s-diff κ=0.07 — that single pair of numbers IS the s-diff justification. Also: no spin flag, yaw tracked while power is down.</t>
        </is>
      </c>
      <c r="F3" s="3" t="inlineStr">
        <is>
          <t>s-diff configs contain κ; open shows the failure. NOTE: with real R20 grip the 45% default barely stresses the axle — run --corner-throttle 65 (or the 23° envelope) to separate configs.</t>
        </is>
      </c>
    </row>
    <row r="4">
      <c r="A4" s="3" t="inlineStr">
        <is>
          <t>Slalom (sine steer)</t>
        </is>
      </c>
      <c r="B4" s="3" t="inlineStr">
        <is>
          <t>±4° at 0.5 Hz, 15 m/s</t>
        </is>
      </c>
      <c r="C4" s="3" t="inlineStr">
        <is>
          <t>Transient handling through repeated direction changes: phase lag, left/right symmetry, and whether errors GROW cycle-to-cycle (the spin precursor).</t>
        </is>
      </c>
      <c r="D4" s="3" t="inlineStr">
        <is>
          <t>Sine-wave steering, amplitude faded in over 1 s, constant drive torque.</t>
        </is>
      </c>
      <c r="E4" s="3" t="inlineStr">
        <is>
          <t>β bounded and symmetric; amplitude NOT growing cycle to cycle (growth = impending spin); Δω flips sign cleanly each reversal.</t>
        </is>
      </c>
      <c r="F4" s="3" t="inlineStr">
        <is>
          <t>Nothing diverges at the default point.</t>
        </is>
      </c>
    </row>
    <row r="5">
      <c r="A5" s="3" t="inlineStr">
        <is>
          <t>Pedal check (APPS/BPS)</t>
        </is>
      </c>
      <c r="B5" s="3" t="inlineStr">
        <is>
          <t>APPS 60% → overlap with brake → release → regen</t>
        </is>
      </c>
      <c r="C5" s="3" t="inlineStr">
        <is>
          <t>The pedal→torque chain and the FSAE EV.4.7 plausibility cut. Rules compliance, not handling — pass/fail.</t>
        </is>
      </c>
      <c r="D5" s="3" t="inlineStr">
        <is>
          <t>Straight line: throttle, then brake pressure WHILE throttle held (illegal overlap), release both, then brake alone.</t>
        </is>
      </c>
      <c r="E5" s="3" t="inlineStr">
        <is>
          <t>Wheel torque EXACTLY 0 through the whole overlap (run 015: 0.000 ✓); cut latched until APPS &lt; 5%; regen negative and inside T_REGEN_MAX; vx estimate tracks through it.</t>
        </is>
      </c>
      <c r="F5" s="3" t="inlineStr">
        <is>
          <t>Hard pass/fail — any nonzero torque in the overlap is a rules violation.</t>
        </is>
      </c>
    </row>
    <row r="6">
      <c r="A6" s="3" t="inlineStr">
        <is>
          <t>Envelope: max steer</t>
        </is>
      </c>
      <c r="B6" s="10" t="inlineStr">
        <is>
          <t>23° road-wheel (CURRENT CAR)</t>
        </is>
      </c>
      <c r="C6" s="3" t="inlineStr">
        <is>
          <t>The physical steering lock — robustness test point, not an operating point.</t>
        </is>
      </c>
      <c r="D6" s="3" t="inlineStr">
        <is>
          <t>Run any maneuver at 23° via ./run.sh prompts or flags.</t>
        </is>
      </c>
      <c r="E6" s="3" t="inlineStr">
        <is>
          <t>Full-lock hairpin: the s-diff κ-containment headline. Full-lock slalom at 40 mph: which configs survive.</t>
        </is>
      </c>
      <c r="F6" s="3" t="inlineStr">
        <is>
          <t>β stays bounded.</t>
        </is>
      </c>
    </row>
    <row r="7">
      <c r="A7" s="3" t="inlineStr">
        <is>
          <t>Envelope: top speed</t>
        </is>
      </c>
      <c r="B7" s="10" t="inlineStr">
        <is>
          <t>40 mph = 17.9 m/s (CURRENT CAR)</t>
        </is>
      </c>
      <c r="C7" s="3" t="inlineStr">
        <is>
          <t>Endurance top expected speed.</t>
        </is>
      </c>
      <c r="D7" s="3" t="inlineStr">
        <is>
          <t>Speed test point for step/slalom.</t>
        </is>
      </c>
      <c r="E7" s="3" t="inlineStr">
        <is>
          <t>Above ~17 m/s the 20 kW motor power cap trims torque (256 of 273 N·m at 40 mph) — check commands respect it.</t>
        </is>
      </c>
      <c r="F7" s="3" t="inlineStr">
        <is>
          <t>—</t>
        </is>
      </c>
    </row>
    <row r="8">
      <c r="A8" s="3" t="inlineStr">
        <is>
          <t>Changing test points</t>
        </is>
      </c>
      <c r="B8" s="3" t="inlineStr">
        <is>
          <t>./run.sh asks · flags · maneuvers.py defaults</t>
        </is>
      </c>
      <c r="C8" s="3" t="inlineStr">
        <is>
          <t>Every run RECORDS its test values; changing one auto-labels the run and flags 'metrics not comparable' vs the previous run.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2026-10-15T04:04:58Z</dcterms:created>
  <dcterms:modified xsi:type="dcterms:W3CDTF">2026-10-15T04:04:58Z</dcterms:modified>
</cp:coreProperties>
</file>