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color rgb="FF9A6A00"/>
      <sz val="10"/>
    </font>
    <font>
      <b val="1"/>
      <color rgb="FF1A7A1A"/>
    </font>
    <font>
      <color rgb="FF1A7A1A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3" t="inlineStr">
        <is>
          <t>Ambient temperature</t>
        </is>
      </c>
      <c r="B5" s="3" t="inlineStr">
        <is>
          <t>T_amb</t>
        </is>
      </c>
      <c r="C5" s="3" t="inlineStr">
        <is>
          <t>environment.t_ambient</t>
        </is>
      </c>
      <c r="D5" s="3" t="inlineStr">
        <is>
          <t>Air temperature. Starts the battery at this temperature and is the coolant's heat sink.</t>
        </is>
      </c>
      <c r="E5" s="4" t="inlineStr">
        <is>
          <t>25</t>
        </is>
      </c>
      <c r="F5" s="3" t="inlineStr">
        <is>
          <t>degC</t>
        </is>
      </c>
      <c r="G5" s="5" t="inlineStr">
        <is>
          <t>PLACEHOLDER — weather on the day</t>
        </is>
      </c>
      <c r="H5" s="3" t="inlineStr">
        <is>
          <t>Weather at the test</t>
        </is>
      </c>
      <c r="I5" s="3" t="inlineStr">
        <is>
          <t>Thermometer / weather record</t>
        </is>
      </c>
      <c r="J5" s="3" t="inlineStr">
        <is>
          <t>Battery thermal state and derating.</t>
        </is>
      </c>
    </row>
    <row r="6">
      <c r="A6" s="3" t="inlineStr">
        <is>
          <t>Ambient pressure</t>
        </is>
      </c>
      <c r="B6" s="3" t="inlineStr">
        <is>
          <t>p_amb</t>
        </is>
      </c>
      <c r="C6" s="3" t="inlineStr">
        <is>
          <t>environment.p_ambient</t>
        </is>
      </c>
      <c r="D6" s="3" t="inlineStr">
        <is>
          <t>Air pressure. Recorded alongside rho_air; rho_air is the value the aero uses.</t>
        </is>
      </c>
      <c r="E6" s="4" t="inlineStr">
        <is>
          <t>101,325</t>
        </is>
      </c>
      <c r="F6" s="3" t="inlineStr">
        <is>
          <t>kPa</t>
        </is>
      </c>
      <c r="G6" s="5" t="inlineStr">
        <is>
          <t>PLACEHOLDER — sea-level standard</t>
        </is>
      </c>
      <c r="H6" s="3" t="inlineStr">
        <is>
          <t>Weather at the test</t>
        </is>
      </c>
      <c r="I6" s="3" t="inlineStr">
        <is>
          <t>Weather record / altimeter</t>
        </is>
      </c>
      <c r="J6" s="3" t="inlineStr">
        <is>
          <t>Air density, hence downforce and drag.</t>
        </is>
      </c>
    </row>
    <row r="7">
      <c r="A7" s="3" t="inlineStr">
        <is>
          <t>Wind speed</t>
        </is>
      </c>
      <c r="B7" s="3" t="inlineStr">
        <is>
          <t>v_wind</t>
        </is>
      </c>
      <c r="C7" s="3" t="inlineStr">
        <is>
          <t>environment.wind_speed</t>
        </is>
      </c>
      <c r="D7" s="3" t="inlineStr">
        <is>
          <t>Steady wind speed over the ground.</t>
        </is>
      </c>
      <c r="E7" s="4" t="inlineStr">
        <is>
          <t>0</t>
        </is>
      </c>
      <c r="F7" s="3" t="inlineStr">
        <is>
          <t>m/s</t>
        </is>
      </c>
      <c r="G7" s="5" t="inlineStr">
        <is>
          <t>PLACEHOLDER — calm</t>
        </is>
      </c>
      <c r="H7" s="3" t="inlineStr">
        <is>
          <t>Anemometer at the test</t>
        </is>
      </c>
      <c r="I7" s="3" t="inlineStr">
        <is>
          <t>Weather record</t>
        </is>
      </c>
      <c r="J7" s="3" t="inlineStr">
        <is>
          <t>Adds to the airspeed the aero forces see.</t>
        </is>
      </c>
    </row>
    <row r="8">
      <c r="A8" s="3" t="inlineStr">
        <is>
          <t>Wind direction (from)</t>
        </is>
      </c>
      <c r="B8" s="3" t="inlineStr">
        <is>
          <t>psi_wind</t>
        </is>
      </c>
      <c r="C8" s="3" t="inlineStr">
        <is>
          <t>environment.wind_direction</t>
        </is>
      </c>
      <c r="D8" s="3" t="inlineStr">
        <is>
          <t>Direction the wind blows FROM, in the ground frame (0 = along +X, a headwind on a car heading +X).</t>
        </is>
      </c>
      <c r="E8" s="4" t="inlineStr">
        <is>
          <t>0</t>
        </is>
      </c>
      <c r="F8" s="3" t="inlineStr">
        <is>
          <t>deg</t>
        </is>
      </c>
      <c r="G8" s="5" t="inlineStr">
        <is>
          <t>PLACEHOLDER — calm</t>
        </is>
      </c>
      <c r="H8" s="3" t="inlineStr">
        <is>
          <t>Wind direction at the test</t>
        </is>
      </c>
      <c r="I8" s="3" t="inlineStr">
        <is>
          <t>Weather record</t>
        </is>
      </c>
      <c r="J8" s="3" t="inlineStr">
        <is>
          <t>Headwind vs tailwind vs crosswind.</t>
        </is>
      </c>
    </row>
    <row r="9">
      <c r="A9" s="3" t="inlineStr">
        <is>
          <t>Road grade</t>
        </is>
      </c>
      <c r="B9" s="3" t="inlineStr">
        <is>
          <t>grade</t>
        </is>
      </c>
      <c r="C9" s="3" t="inlineStr">
        <is>
          <t>environment.road_grade</t>
        </is>
      </c>
      <c r="D9" s="3" t="inlineStr">
        <is>
          <t>Uphill slope along +X (positive = climbing). Tilts gravity in the full plant.</t>
        </is>
      </c>
      <c r="E9" s="4" t="inlineStr">
        <is>
          <t>0</t>
        </is>
      </c>
      <c r="F9" s="3" t="inlineStr">
        <is>
          <t>deg</t>
        </is>
      </c>
      <c r="G9" s="5" t="inlineStr">
        <is>
          <t>PLACEHOLDER — flat pad</t>
        </is>
      </c>
      <c r="H9" s="3" t="inlineStr">
        <is>
          <t>Track survey</t>
        </is>
      </c>
      <c r="I9" s="3" t="inlineStr">
        <is>
          <t>Inclinometer on the test surface</t>
        </is>
      </c>
      <c r="J9" s="3" t="inlineStr">
        <is>
          <t>g sin(grade) is a longitudinal force the controller cannot tell from drive torque.</t>
        </is>
      </c>
    </row>
    <row r="10">
      <c r="A10" s="3" t="inlineStr">
        <is>
          <t>Road bank</t>
        </is>
      </c>
      <c r="B10" s="3" t="inlineStr">
        <is>
          <t>bank</t>
        </is>
      </c>
      <c r="C10" s="3" t="inlineStr">
        <is>
          <t>environment.road_bank</t>
        </is>
      </c>
      <c r="D10" s="3" t="inlineStr">
        <is>
          <t>Side slope (positive = left side higher). Tilts gravity in the full plant.</t>
        </is>
      </c>
      <c r="E10" s="4" t="inlineStr">
        <is>
          <t>0</t>
        </is>
      </c>
      <c r="F10" s="3" t="inlineStr">
        <is>
          <t>deg</t>
        </is>
      </c>
      <c r="G10" s="5" t="inlineStr">
        <is>
          <t>PLACEHOLDER — flat pad</t>
        </is>
      </c>
      <c r="H10" s="3" t="inlineStr">
        <is>
          <t>Track survey</t>
        </is>
      </c>
      <c r="I10" s="3" t="inlineStr">
        <is>
          <t>Inclinometer</t>
        </is>
      </c>
      <c r="J10" s="3" t="inlineStr">
        <is>
          <t>Banking adds or removes lateral load.</t>
        </is>
      </c>
    </row>
    <row r="11">
      <c r="A11" s="2" t="inlineStr">
        <is>
          <t>MASS</t>
        </is>
      </c>
    </row>
    <row r="12">
      <c r="A12" s="3" t="inlineStr">
        <is>
          <t>Car mass, no driver</t>
        </is>
      </c>
      <c r="B12" s="3" t="inlineStr">
        <is>
          <t>m_car</t>
        </is>
      </c>
      <c r="C12" s="3" t="inlineStr">
        <is>
          <t>mass.car_no_driver</t>
        </is>
      </c>
      <c r="D12" s="3" t="inlineStr">
        <is>
          <t>Complete ready-to-run vehicle, nobody in the seat.</t>
        </is>
      </c>
      <c r="E12" s="6" t="inlineStr">
        <is>
          <t>181.5</t>
        </is>
      </c>
      <c r="F12" s="3" t="inlineStr">
        <is>
          <t>kg (weighed as 400.1 lb)</t>
        </is>
      </c>
      <c r="G12" s="7" t="inlineStr">
        <is>
          <t>MEASURED 2026-08-31 (corner scales)</t>
        </is>
      </c>
      <c r="H12" s="3" t="inlineStr">
        <is>
          <t>Total car weight</t>
        </is>
      </c>
      <c r="I12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12" s="3" t="inlineStr">
        <is>
          <t>With driver mass it sets EVERY inertial and grip force in the sim.</t>
        </is>
      </c>
    </row>
    <row r="13">
      <c r="A13" s="3" t="inlineStr">
        <is>
          <t>Driver mass</t>
        </is>
      </c>
      <c r="B13" s="3" t="inlineStr">
        <is>
          <t>m_driver</t>
        </is>
      </c>
      <c r="C13" s="3" t="inlineStr">
        <is>
          <t>mass.driver</t>
        </is>
      </c>
      <c r="D13" s="3" t="inlineStr">
        <is>
          <t>Driver in full gear (suit, helmet, shoes). Convention: use the HEAVIEST regular driver for conservative tuning.</t>
        </is>
      </c>
      <c r="E13" s="6" t="inlineStr">
        <is>
          <t>70.76</t>
        </is>
      </c>
      <c r="F13" s="3" t="inlineStr">
        <is>
          <t>kg (entered as 156 lb)</t>
        </is>
      </c>
      <c r="G13" s="7" t="inlineStr">
        <is>
          <t>CURRENT CAR (team)</t>
        </is>
      </c>
      <c r="H13" s="3" t="inlineStr">
        <is>
          <t>Suited driver weight</t>
        </is>
      </c>
      <c r="I13" s="3" t="inlineStr">
        <is>
          <t>Bathroom scale, fully suited</t>
        </is>
      </c>
      <c r="J13" s="3" t="inlineStr">
        <is>
          <t>The car never runs without one. Confirm 156 lb is the heaviest driver and includes gear (~5-8 lb).</t>
        </is>
      </c>
    </row>
    <row r="14">
      <c r="A14" s="3" t="inlineStr">
        <is>
          <t>Total mass (computed)</t>
        </is>
      </c>
      <c r="B14" s="3" t="inlineStr">
        <is>
          <t>m_total</t>
        </is>
      </c>
      <c r="C14" s="3" t="inlineStr">
        <is>
          <t>mass.total</t>
        </is>
      </c>
      <c r="D14" s="3" t="inlineStr">
        <is>
          <t>Total vehicle mass with the driver seated.</t>
        </is>
      </c>
      <c r="E14" s="4" t="inlineStr">
        <is>
          <t>252.2</t>
        </is>
      </c>
      <c r="F14" s="3" t="inlineStr">
        <is>
          <t>kg</t>
        </is>
      </c>
      <c r="G14" s="3" t="inlineStr">
        <is>
          <t>DERIVED (car + driver, never entered directly)</t>
        </is>
      </c>
      <c r="H14" s="3" t="inlineStr">
        <is>
          <t>—</t>
        </is>
      </c>
      <c r="I14" s="3">
        <f> mass.car_no_driver + mass.driver</f>
        <v/>
      </c>
      <c r="J14" s="3" t="inlineStr">
        <is>
          <t>The mass every inertial term in the equations of motion uses.</t>
        </is>
      </c>
    </row>
    <row r="15">
      <c r="A15" s="3" t="inlineStr">
        <is>
          <t>Unsprung mass, front corner</t>
        </is>
      </c>
      <c r="B15" s="3" t="inlineStr">
        <is>
          <t>m_uf</t>
        </is>
      </c>
      <c r="C15" s="3" t="inlineStr">
        <is>
          <t>mass.unsprung_front</t>
        </is>
      </c>
      <c r="D15" s="3" t="inlineStr">
        <is>
          <t>Mass of ONE front corner that moves with the wheel: tire, rim, hub, upright, motor, planetary, brake, half the links.</t>
        </is>
      </c>
      <c r="E15" s="4" t="inlineStr">
        <is>
          <t>7.05</t>
        </is>
      </c>
      <c r="F15" s="3" t="inlineStr">
        <is>
          <t>kg</t>
        </is>
      </c>
      <c r="G15" s="5" t="inlineStr">
        <is>
          <t>PLACEHOLDER — team sheet (which car is unconfirmed)</t>
        </is>
      </c>
      <c r="H15" s="3" t="inlineStr">
        <is>
          <t>Front corner unsprung mass</t>
        </is>
      </c>
      <c r="I15" s="3" t="inlineStr">
        <is>
          <t>Weigh the assembled upright with wheel, or CAD mass properties</t>
        </is>
      </c>
      <c r="J15" s="3" t="inlineStr">
        <is>
          <t>The jounce DOF's mass; with the tire spring it sets the wheel-hop frequency.</t>
        </is>
      </c>
    </row>
    <row r="16">
      <c r="A16" s="3" t="inlineStr">
        <is>
          <t>Unsprung mass, rear corner</t>
        </is>
      </c>
      <c r="B16" s="3" t="inlineStr">
        <is>
          <t>m_ur</t>
        </is>
      </c>
      <c r="C16" s="3" t="inlineStr">
        <is>
          <t>mass.unsprung_rear</t>
        </is>
      </c>
      <c r="D16" s="3" t="inlineStr">
        <is>
          <t>Mass of ONE rear corner that moves with the wheel.</t>
        </is>
      </c>
      <c r="E16" s="4" t="inlineStr">
        <is>
          <t>9.14</t>
        </is>
      </c>
      <c r="F16" s="3" t="inlineStr">
        <is>
          <t>kg</t>
        </is>
      </c>
      <c r="G16" s="5" t="inlineStr">
        <is>
          <t>PLACEHOLDER — back-solved from the team sheet (total - sprung - 2 x front) / 2</t>
        </is>
      </c>
      <c r="H16" s="3" t="inlineStr">
        <is>
          <t>Rear corner unsprung mass</t>
        </is>
      </c>
      <c r="I16" s="3" t="inlineStr">
        <is>
          <t>Weigh the assembled upright with wheel, or CAD</t>
        </is>
      </c>
      <c r="J16" s="3" t="inlineStr">
        <is>
          <t>Rear jounce DOF mass.</t>
        </is>
      </c>
    </row>
    <row r="17">
      <c r="A17" s="3" t="inlineStr">
        <is>
          <t>Sprung mass (with driver)</t>
        </is>
      </c>
      <c r="B17" s="3" t="inlineStr">
        <is>
          <t>m_s</t>
        </is>
      </c>
      <c r="C17" s="3" t="inlineStr">
        <is>
          <t>mass.sprung</t>
        </is>
      </c>
      <c r="D17" s="3" t="inlineStr">
        <is>
          <t>The chassis body the 6-DOF equations move: total mass minus the four unsprung corners.</t>
        </is>
      </c>
      <c r="E17" s="4" t="inlineStr">
        <is>
          <t>219.9</t>
        </is>
      </c>
      <c r="F17" s="3" t="inlineStr">
        <is>
          <t>kg</t>
        </is>
      </c>
      <c r="G17" s="3" t="inlineStr">
        <is>
          <t>DERIVED</t>
        </is>
      </c>
      <c r="H17" s="3" t="inlineStr">
        <is>
          <t>-</t>
        </is>
      </c>
      <c r="I17" s="3">
        <f> mass.car_no_driver + mass.driver - 2.0 * mass.unsprung_front - 2.0 * mass.unsprung_rear</f>
        <v/>
      </c>
      <c r="J17" s="3" t="inlineStr">
        <is>
          <t>The mass that rolls, pitches and heaves on the springs.</t>
        </is>
      </c>
    </row>
    <row r="18">
      <c r="A18" s="2" t="inlineStr">
        <is>
          <t>GEOMETRY &amp; CG</t>
        </is>
      </c>
    </row>
    <row r="19">
      <c r="A19" s="3" t="inlineStr">
        <is>
          <t>Wheelbase</t>
        </is>
      </c>
      <c r="B19" s="3" t="inlineStr">
        <is>
          <t>L</t>
        </is>
      </c>
      <c r="C19" s="3" t="inlineStr">
        <is>
          <t>geometry.wheelbase</t>
        </is>
      </c>
      <c r="D19" s="3" t="inlineStr">
        <is>
          <t>Front-axle to rear-axle centerline distance.</t>
        </is>
      </c>
      <c r="E19" s="4" t="inlineStr">
        <is>
          <t>1.52</t>
        </is>
      </c>
      <c r="F19" s="3" t="inlineStr">
        <is>
          <t>m</t>
        </is>
      </c>
      <c r="G19" s="3" t="inlineStr">
        <is>
          <t>FROM REPORT (2023 car)</t>
        </is>
      </c>
      <c r="H19" s="3" t="inlineStr">
        <is>
          <t>Axle-center to axle-center distance</t>
        </is>
      </c>
      <c r="I19" s="3" t="inlineStr">
        <is>
          <t>Tape measure / CAD</t>
        </is>
      </c>
      <c r="J19" s="3" t="inlineStr">
        <is>
          <t>Sets yaw geometry, the bicycle-model reference, and CG position math.</t>
        </is>
      </c>
    </row>
    <row r="20">
      <c r="A20" s="3" t="inlineStr">
        <is>
          <t>Front track</t>
        </is>
      </c>
      <c r="B20" s="3" t="inlineStr">
        <is>
          <t>t_f</t>
        </is>
      </c>
      <c r="C20" s="3" t="inlineStr">
        <is>
          <t>geometry.track_front</t>
        </is>
      </c>
      <c r="D20" s="3" t="inlineStr">
        <is>
          <t>Front track width — distance between the CENTERS of the two front tire contact patches (NOT outside-to-outside of the tires).</t>
        </is>
      </c>
      <c r="E20" s="4" t="inlineStr">
        <is>
          <t>1.34</t>
        </is>
      </c>
      <c r="F20" s="3" t="inlineStr">
        <is>
          <t>m</t>
        </is>
      </c>
      <c r="G20" s="3" t="inlineStr">
        <is>
          <t>FROM REPORT</t>
        </is>
      </c>
      <c r="H20" s="3" t="inlineStr">
        <is>
          <t>Center-of-tire to center-of-tire, front</t>
        </is>
      </c>
      <c r="I20" s="3" t="inlineStr">
        <is>
          <t>Tape measure / CAD</t>
        </is>
      </c>
      <c r="J20" s="3" t="inlineStr">
        <is>
          <t>Lever arm for front lateral load transfer.</t>
        </is>
      </c>
    </row>
    <row r="21">
      <c r="A21" s="3" t="inlineStr">
        <is>
          <t>Rear track</t>
        </is>
      </c>
      <c r="B21" s="3" t="inlineStr">
        <is>
          <t>t_r</t>
        </is>
      </c>
      <c r="C21" s="3" t="inlineStr">
        <is>
          <t>geometry.track_rear</t>
        </is>
      </c>
      <c r="D21" s="3" t="inlineStr">
        <is>
          <t>Rear track width, same definition as front.</t>
        </is>
      </c>
      <c r="E21" s="4" t="inlineStr">
        <is>
          <t>1.34</t>
        </is>
      </c>
      <c r="F21" s="3" t="inlineStr">
        <is>
          <t>m</t>
        </is>
      </c>
      <c r="G21" s="3" t="inlineStr">
        <is>
          <t>FROM REPORT</t>
        </is>
      </c>
      <c r="H21" s="3" t="inlineStr">
        <is>
          <t>Center-of-tire to center-of-tire, rear</t>
        </is>
      </c>
      <c r="I21" s="3" t="inlineStr">
        <is>
          <t>Tape measure / CAD</t>
        </is>
      </c>
      <c r="J21" s="3" t="inlineStr">
        <is>
          <t>THE torque-vectoring lever arm: Mz = (t_r/2)*dFx. Bigger track = more yaw per N*m of split.</t>
        </is>
      </c>
    </row>
    <row r="22">
      <c r="A22" s="3" t="inlineStr">
        <is>
          <t>Front weight fraction</t>
        </is>
      </c>
      <c r="B22" s="3" t="inlineStr">
        <is>
          <t>pct_front</t>
        </is>
      </c>
      <c r="C22" s="3" t="inlineStr">
        <is>
          <t>geometry.weight_fraction_front</t>
        </is>
      </c>
      <c r="D22" s="3" t="inlineStr">
        <is>
          <t>Static front weight fraction = front axle weight / total weight. By statics this equals (CG-to-REAR-axle distance)/wheelbase.</t>
        </is>
      </c>
      <c r="E22" s="6" t="inlineStr">
        <is>
          <t>0.4344</t>
        </is>
      </c>
      <c r="F22" s="3" t="inlineStr">
        <is>
          <t>0-1</t>
        </is>
      </c>
      <c r="G22" s="7" t="inlineStr">
        <is>
          <t>MEASURED 2026-08-31 (scales, NO driver — redo seated)</t>
        </is>
      </c>
      <c r="H22" s="3" t="inlineStr">
        <is>
          <t>Front axle share WITH DRIVER SEATED (expect ~1-2% lower than the 43.44% car-only number, so roughly 41.5-43%)</t>
        </is>
      </c>
      <c r="I22" s="3" t="inlineStr">
        <is>
          <t>Repeat the corner-scale session with the driver in the seat</t>
        </is>
      </c>
      <c r="J22" s="3" t="inlineStr">
        <is>
          <t>Decides how much grip each axle owns — understeer/oversteer balance starts here.</t>
        </is>
      </c>
    </row>
    <row r="23">
      <c r="A23" s="3" t="inlineStr">
        <is>
          <t>CG height</t>
        </is>
      </c>
      <c r="B23" s="3" t="inlineStr">
        <is>
          <t>h</t>
        </is>
      </c>
      <c r="C23" s="3" t="inlineStr">
        <is>
          <t>geometry.h_cg</t>
        </is>
      </c>
      <c r="D23" s="3" t="inlineStr">
        <is>
          <t>Height of the center of gravity above the ground.</t>
        </is>
      </c>
      <c r="E23" s="4" t="inlineStr">
        <is>
          <t>0.23</t>
        </is>
      </c>
      <c r="F23" s="3" t="inlineStr">
        <is>
          <t>m</t>
        </is>
      </c>
      <c r="G23" s="3" t="inlineStr">
        <is>
          <t>FROM REPORT</t>
        </is>
      </c>
      <c r="H23" s="3" t="inlineStr">
        <is>
          <t>CG height</t>
        </is>
      </c>
      <c r="I23" s="3" t="inlineStr">
        <is>
          <t>Tilt test (weigh one axle while lifting the other) or CAD</t>
        </is>
      </c>
      <c r="J23" s="3" t="inlineStr">
        <is>
          <t>Drives ALL load transfer — every grip shift in braking, accel and cornering is proportional to h.</t>
        </is>
      </c>
    </row>
    <row r="24">
      <c r="A24" s="3" t="inlineStr">
        <is>
          <t>Yaw inertia</t>
        </is>
      </c>
      <c r="B24" s="3" t="inlineStr">
        <is>
          <t>I_z</t>
        </is>
      </c>
      <c r="C24" s="3" t="inlineStr">
        <is>
          <t>geometry.I_z</t>
        </is>
      </c>
      <c r="D24" s="3" t="inlineStr">
        <is>
          <t>Yaw moment of inertia of the whole vehicle about the vertical axis through the CG. Sets how fast yaw rate responds to the TV yaw moment.</t>
        </is>
      </c>
      <c r="E24" s="4" t="inlineStr">
        <is>
          <t>70.38</t>
        </is>
      </c>
      <c r="F24" s="3" t="inlineStr">
        <is>
          <t>kg*m^2</t>
        </is>
      </c>
      <c r="G24" s="3" t="inlineStr">
        <is>
          <t>FROM REPORT</t>
        </is>
      </c>
      <c r="H24" s="3" t="inlineStr">
        <is>
          <t>Yaw moment of inertia</t>
        </is>
      </c>
      <c r="I24" s="3" t="inlineStr">
        <is>
          <t>CAD mass model (practical) or trifilar pendulum test</t>
        </is>
      </c>
      <c r="J24" s="3" t="inlineStr">
        <is>
          <t>Directly in Iz*rdot = sum(Mz) — how fast the car answers a yaw moment.</t>
        </is>
      </c>
    </row>
    <row r="25">
      <c r="A25" s="3" t="inlineStr">
        <is>
          <t>Roll inertia (sprung)</t>
        </is>
      </c>
      <c r="B25" s="3" t="inlineStr">
        <is>
          <t>I_xx</t>
        </is>
      </c>
      <c r="C25" s="3" t="inlineStr">
        <is>
          <t>geometry.I_xx</t>
        </is>
      </c>
      <c r="D25" s="3" t="inlineStr">
        <is>
          <t>Roll moment of inertia of the SPRUNG mass about its own longitudinal axis.</t>
        </is>
      </c>
      <c r="E25" s="4" t="inlineStr">
        <is>
          <t>15.34</t>
        </is>
      </c>
      <c r="F25" s="3" t="inlineStr">
        <is>
          <t>kg*m^2</t>
        </is>
      </c>
      <c r="G25" s="5" t="inlineStr">
        <is>
          <t>PLACEHOLDER — team sheet (which car is unconfirmed)</t>
        </is>
      </c>
      <c r="H25" s="3" t="inlineStr">
        <is>
          <t>Roll inertia from CAD, driver included</t>
        </is>
      </c>
      <c r="I25" s="3" t="inlineStr">
        <is>
          <t>CAD mass properties</t>
        </is>
      </c>
      <c r="J25" s="3" t="inlineStr">
        <is>
          <t>How fast the body rolls after turn-in; with the roll stiffness it sets the roll natural frequency.</t>
        </is>
      </c>
    </row>
    <row r="26">
      <c r="A26" s="3" t="inlineStr">
        <is>
          <t>Pitch inertia (sprung)</t>
        </is>
      </c>
      <c r="B26" s="3" t="inlineStr">
        <is>
          <t>I_yy</t>
        </is>
      </c>
      <c r="C26" s="3" t="inlineStr">
        <is>
          <t>geometry.I_yy</t>
        </is>
      </c>
      <c r="D26" s="3" t="inlineStr">
        <is>
          <t>Pitch moment of inertia of the sprung mass about its lateral axis.</t>
        </is>
      </c>
      <c r="E26" s="4" t="inlineStr">
        <is>
          <t>64.46</t>
        </is>
      </c>
      <c r="F26" s="3" t="inlineStr">
        <is>
          <t>kg*m^2</t>
        </is>
      </c>
      <c r="G26" s="5" t="inlineStr">
        <is>
          <t>PLACEHOLDER — team sheet (which car is unconfirmed)</t>
        </is>
      </c>
      <c r="H26" s="3" t="inlineStr">
        <is>
          <t>Pitch inertia from CAD</t>
        </is>
      </c>
      <c r="I26" s="3" t="inlineStr">
        <is>
          <t>CAD mass properties</t>
        </is>
      </c>
      <c r="J26" s="3" t="inlineStr">
        <is>
          <t>Dive/squat dynamics under braking and drive.</t>
        </is>
      </c>
    </row>
    <row r="27">
      <c r="A27" s="3" t="inlineStr">
        <is>
          <t>Roll-yaw product of inertia</t>
        </is>
      </c>
      <c r="B27" s="3" t="inlineStr">
        <is>
          <t>I_xz</t>
        </is>
      </c>
      <c r="C27" s="3" t="inlineStr">
        <is>
          <t>geometry.I_xz</t>
        </is>
      </c>
      <c r="D27" s="3" t="inlineStr">
        <is>
          <t>Product of inertia coupling roll and yaw. Non-zero when the mass is not symmetric about the roll axis (a low-slung battery with a high driver gives a small one).</t>
        </is>
      </c>
      <c r="E27" s="4" t="inlineStr">
        <is>
          <t>0</t>
        </is>
      </c>
      <c r="F27" s="3" t="inlineStr">
        <is>
          <t>kg*m^2</t>
        </is>
      </c>
      <c r="G27" s="5" t="inlineStr">
        <is>
          <t>PLACEHOLDER — assumed 0 (symmetric body)</t>
        </is>
      </c>
      <c r="H27" s="3" t="inlineStr">
        <is>
          <t>I_xz from CAD</t>
        </is>
      </c>
      <c r="I27" s="3" t="inlineStr">
        <is>
          <t>CAD mass properties (full inertia tensor)</t>
        </is>
      </c>
      <c r="J27" s="3" t="inlineStr">
        <is>
          <t>Couples roll into yaw: a body that rolls also yaws a little, which the TV controller sees as a disturbance.</t>
        </is>
      </c>
    </row>
    <row r="28">
      <c r="A28" s="3" t="inlineStr">
        <is>
          <t>CG lateral offset</t>
        </is>
      </c>
      <c r="B28" s="3" t="inlineStr">
        <is>
          <t>y_cg</t>
        </is>
      </c>
      <c r="C28" s="3" t="inlineStr">
        <is>
          <t>geometry.cg_lateral_offset</t>
        </is>
      </c>
      <c r="D28" s="3" t="inlineStr">
        <is>
          <t>Lateral position of the CG from the centreline, positive LEFT.</t>
        </is>
      </c>
      <c r="E28" s="6" t="inlineStr">
        <is>
          <t>0</t>
        </is>
      </c>
      <c r="F28" s="3" t="inlineStr">
        <is>
          <t>m</t>
        </is>
      </c>
      <c r="G28" s="7" t="inlineStr">
        <is>
          <t>MEASURED 2026-08-31 (corner scales: 50.56% left -&gt; ~5 mm, taken as 0)</t>
        </is>
      </c>
      <c r="H28" s="3" t="inlineStr">
        <is>
          <t>-</t>
        </is>
      </c>
      <c r="I28" s="3" t="inlineStr">
        <is>
          <t>Corner scales: (left share - 0.5) x track</t>
        </is>
      </c>
      <c r="J28" s="3" t="inlineStr">
        <is>
          <t>A non-zero value gives a standing left/right load asymmetry.</t>
        </is>
      </c>
    </row>
    <row r="29">
      <c r="A29" s="3" t="inlineStr">
        <is>
          <t>Sprung-mass CG height</t>
        </is>
      </c>
      <c r="B29" s="3" t="inlineStr">
        <is>
          <t>h_s</t>
        </is>
      </c>
      <c r="C29" s="3" t="inlineStr">
        <is>
          <t>geometry.h_cg_sprung</t>
        </is>
      </c>
      <c r="D29" s="3" t="inlineStr">
        <is>
          <t>Height of the SPRUNG mass's CG above ground, from the whole-vehicle h_cg and the unsprung CGs at wheel-centre height.</t>
        </is>
      </c>
      <c r="E29" s="4" t="inlineStr">
        <is>
          <t>0.2302</t>
        </is>
      </c>
      <c r="F29" s="3" t="inlineStr">
        <is>
          <t>m</t>
        </is>
      </c>
      <c r="G29" s="3" t="inlineStr">
        <is>
          <t>DERIVED</t>
        </is>
      </c>
      <c r="H29" s="3" t="inlineStr">
        <is>
          <t>-</t>
        </is>
      </c>
      <c r="I29" s="3">
        <f> (mass.total * geometry.h_cg - 2.0 * (mass.unsprung_front + mass.unsprung_rear) * suspension.unsprung_cg_height) / mass.sprung</f>
        <v/>
      </c>
      <c r="J29" s="3" t="inlineStr">
        <is>
          <t>The lever arm for the elastic (through-the-springs) part of load transfer.</t>
        </is>
      </c>
    </row>
    <row r="30">
      <c r="A30" s="3" t="inlineStr">
        <is>
          <t>Front static ride height</t>
        </is>
      </c>
      <c r="B30" s="3" t="inlineStr">
        <is>
          <t>rh_f</t>
        </is>
      </c>
      <c r="C30" s="3" t="inlineStr">
        <is>
          <t>geometry.ride_height_front</t>
        </is>
      </c>
      <c r="D30" s="3" t="inlineStr">
        <is>
          <t>Ground clearance at the front of the floor at static. Reference for the aero ride-height sensitivity.</t>
        </is>
      </c>
      <c r="E30" s="4" t="inlineStr">
        <is>
          <t>0.05</t>
        </is>
      </c>
      <c r="F30" s="3" t="inlineStr">
        <is>
          <t>mm</t>
        </is>
      </c>
      <c r="G30" s="5" t="inlineStr">
        <is>
          <t>PLACEHOLDER — setup sheet</t>
        </is>
      </c>
      <c r="H30" s="3" t="inlineStr">
        <is>
          <t>Setup-sheet ride height</t>
        </is>
      </c>
      <c r="I30" s="3" t="inlineStr">
        <is>
          <t>Ruler under the floor, car on flat ground, driver seated</t>
        </is>
      </c>
      <c r="J30" s="3" t="inlineStr">
        <is>
          <t>Aero platform; the full plant's heave is measured from this.</t>
        </is>
      </c>
    </row>
    <row r="31">
      <c r="A31" s="3" t="inlineStr">
        <is>
          <t>Rear static ride height</t>
        </is>
      </c>
      <c r="B31" s="3" t="inlineStr">
        <is>
          <t>rh_r</t>
        </is>
      </c>
      <c r="C31" s="3" t="inlineStr">
        <is>
          <t>geometry.ride_height_rear</t>
        </is>
      </c>
      <c r="D31" s="3" t="inlineStr">
        <is>
          <t>Ground clearance at the rear of the floor at static.</t>
        </is>
      </c>
      <c r="E31" s="4" t="inlineStr">
        <is>
          <t>0.06</t>
        </is>
      </c>
      <c r="F31" s="3" t="inlineStr">
        <is>
          <t>mm</t>
        </is>
      </c>
      <c r="G31" s="5" t="inlineStr">
        <is>
          <t>PLACEHOLDER — setup sheet</t>
        </is>
      </c>
      <c r="H31" s="3" t="inlineStr">
        <is>
          <t>Setup-sheet ride height</t>
        </is>
      </c>
      <c r="I31" s="3" t="inlineStr">
        <is>
          <t>Ruler</t>
        </is>
      </c>
      <c r="J31" s="3" t="inlineStr">
        <is>
          <t>Aero platform (rake).</t>
        </is>
      </c>
    </row>
    <row r="32">
      <c r="A32" s="2" t="inlineStr">
        <is>
          <t>WHEELS &amp; DRIVETRAIN</t>
        </is>
      </c>
    </row>
    <row r="33">
      <c r="A33" s="3" t="inlineStr">
        <is>
          <t>Tire outer diameter</t>
        </is>
      </c>
      <c r="B33" s="3" t="inlineStr">
        <is>
          <t>d_w</t>
        </is>
      </c>
      <c r="C33" s="3" t="inlineStr">
        <is>
          <t>drivetrain.tire_outer_diameter</t>
        </is>
      </c>
      <c r="D33" s="3" t="inlineStr">
        <is>
          <t>Outer diameter of the fitted tire. wheel_radius is derived from it.</t>
        </is>
      </c>
      <c r="E33" s="6" t="inlineStr">
        <is>
          <t>0.4572</t>
        </is>
      </c>
      <c r="F33" s="3" t="inlineStr">
        <is>
          <t>m (18 in OD)</t>
        </is>
      </c>
      <c r="G33" s="7" t="inlineStr">
        <is>
          <t>CURRENT CAR (18in tire OD, 10in rim)</t>
        </is>
      </c>
      <c r="H33" s="3" t="inlineStr">
        <is>
          <t>Confirmed tire size</t>
        </is>
      </c>
      <c r="I33" s="3" t="inlineStr">
        <is>
          <t>Tire sidewall / team spec</t>
        </is>
      </c>
      <c r="J33" s="3" t="inlineStr">
        <is>
          <t>The rim size does not enter the sim — only the tire's rolling radius does.</t>
        </is>
      </c>
    </row>
    <row r="34">
      <c r="A34" s="3" t="inlineStr">
        <is>
          <t>Tire radius (loaded)</t>
        </is>
      </c>
      <c r="B34" s="3" t="inlineStr">
        <is>
          <t>r_w</t>
        </is>
      </c>
      <c r="C34" s="3" t="inlineStr">
        <is>
          <t>drivetrain.wheel_radius</t>
        </is>
      </c>
      <c r="D34" s="3" t="inlineStr">
        <is>
          <t>LOADED tire radius — ground to axle center with the car's weight on the tire.</t>
        </is>
      </c>
      <c r="E34" s="6" t="inlineStr">
        <is>
          <t>0.2286</t>
        </is>
      </c>
      <c r="F34" s="3" t="inlineStr">
        <is>
          <t>m (18 in OD / 2)</t>
        </is>
      </c>
      <c r="G34" s="7" t="inlineStr">
        <is>
          <t>CURRENT CAR</t>
        </is>
      </c>
      <c r="H34" s="3" t="inlineStr">
        <is>
          <t>Axle-center height, car on the ground</t>
        </is>
      </c>
      <c r="I34" s="3">
        <f> drivetrain.tire_outer_diameter / 2.0</f>
        <v/>
      </c>
      <c r="J34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35">
      <c r="A35" s="3" t="inlineStr">
        <is>
          <t>Upright planetary ratio</t>
        </is>
      </c>
      <c r="B35" s="3" t="inlineStr">
        <is>
          <t>gr</t>
        </is>
      </c>
      <c r="C35" s="3" t="inlineStr">
        <is>
          <t>drivetrain.gear_ratio</t>
        </is>
      </c>
      <c r="D35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35" s="4" t="inlineStr">
        <is>
          <t>13</t>
        </is>
      </c>
      <c r="F35" s="3" t="inlineStr">
        <is>
          <t>-</t>
        </is>
      </c>
      <c r="G35" s="3" t="inlineStr">
        <is>
          <t>FROM REPORT — confirm upright planetary ratio</t>
        </is>
      </c>
      <c r="H35" s="3" t="inlineStr">
        <is>
          <t>The planetary's reduction ratio</t>
        </is>
      </c>
      <c r="I35" s="3" t="inlineStr">
        <is>
          <t>Ask powertrain / count gear teeth in CAD</t>
        </is>
      </c>
      <c r="J35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36">
      <c r="A36" s="3" t="inlineStr">
        <is>
          <t>Motor peak torque</t>
        </is>
      </c>
      <c r="B36" s="3" t="inlineStr">
        <is>
          <t>T_pk</t>
        </is>
      </c>
      <c r="C36" s="3" t="inlineStr">
        <is>
          <t>drivetrain.motor_torque_peak</t>
        </is>
      </c>
      <c r="D36" s="3" t="inlineStr">
        <is>
          <t>Peak torque of ONE motor at its shaft (before the gear reduction).</t>
        </is>
      </c>
      <c r="E36" s="6" t="inlineStr">
        <is>
          <t>21</t>
        </is>
      </c>
      <c r="F36" s="3" t="inlineStr">
        <is>
          <t>N*m</t>
        </is>
      </c>
      <c r="G36" s="7" t="inlineStr">
        <is>
          <t>CURRENT CAR (AMK kit datasheet)</t>
        </is>
      </c>
      <c r="H36" s="3" t="inlineStr">
        <is>
          <t>Nothing (datasheet value)</t>
        </is>
      </c>
      <c r="I36" s="3" t="inlineStr">
        <is>
          <t>AMK kit manual 6.5.3 torque curve; dyno confirms someday</t>
        </is>
      </c>
      <c r="J36" s="3" t="inlineStr">
        <is>
          <t>x13 gear = 273 N*m per wheel — the ceiling every torque command lives under.</t>
        </is>
      </c>
    </row>
    <row r="37">
      <c r="A37" s="3" t="inlineStr">
        <is>
          <t>Motor torque constant</t>
        </is>
      </c>
      <c r="B37" s="3" t="inlineStr">
        <is>
          <t>Kt</t>
        </is>
      </c>
      <c r="C37" s="3" t="inlineStr">
        <is>
          <t>drivetrain.motor_kt</t>
        </is>
      </c>
      <c r="D37" s="3" t="inlineStr">
        <is>
          <t>Shaft torque per amp of motor (q-axis) current. Turns a VESC current command into torque.</t>
        </is>
      </c>
      <c r="E37" s="4" t="inlineStr">
        <is>
          <t>0.2</t>
        </is>
      </c>
      <c r="F37" s="3" t="inlineStr">
        <is>
          <t>N*m/A</t>
        </is>
      </c>
      <c r="G37" s="5" t="inlineStr">
        <is>
          <t>PLACEHOLDER — UNMEASURED; AMK-era motor numbers above may not apply to the in-hub motors</t>
        </is>
      </c>
      <c r="H37" s="3" t="inlineStr">
        <is>
          <t>The in-hub motor's Kt</t>
        </is>
      </c>
      <c r="I37" s="3" t="inlineStr">
        <is>
          <t>Motor datasheet, or once VESC status frames are parsed: measured wheel torque / (reported motor current x gear ratio). Cross-check against motor_torque_peak / peak current.</t>
        </is>
      </c>
      <c r="J37" s="3" t="inlineStr">
        <is>
          <t>The ONLY number that makes the VCU's milliamp command mean anything in the sim: T_wheel = I[A] * Kt * gear_ratio. It also sets what 100% pedal is worth (max_motor_current below), so a wrong Kt scales every run's torque.</t>
        </is>
      </c>
    </row>
    <row r="38">
      <c r="A38" s="3" t="inlineStr">
        <is>
          <t>Full-pedal motor current (firmware cap)</t>
        </is>
      </c>
      <c r="B38" s="3" t="inlineStr">
        <is>
          <t>MAX_MOTOR_CURRENT_MA</t>
        </is>
      </c>
      <c r="C38" s="3" t="inlineStr">
        <is>
          <t>drivetrain.max_motor_current</t>
        </is>
      </c>
      <c r="D38" s="3" t="inlineStr">
        <is>
          <t>Motor current the VCU commands at 100% pedal. The firmware's pedal map is linear to it.</t>
        </is>
      </c>
      <c r="E38" s="6" t="inlineStr">
        <is>
          <t>70</t>
        </is>
      </c>
      <c r="F38" s="3" t="inlineStr">
        <is>
          <t>A</t>
        </is>
      </c>
      <c r="G38" s="7" t="inlineStr">
        <is>
          <t>CURRENT CAR (powertrainControl.h MAX_MOTOR_CURRENT_MA, S-diff 5df1baf)</t>
        </is>
      </c>
      <c r="H38" s="3" t="inlineStr">
        <is>
          <t>Confirmation this is the intended full-throttle current, not a bring-up limit</t>
        </is>
      </c>
      <c r="I38" s="3" t="inlineStr">
        <is>
          <t>dev/powertrainControl.h on the SRE-VCU S-diff branch</t>
        </is>
      </c>
      <c r="J38" s="3" t="inlineStr">
        <is>
          <t>The firmware is the only controller, and it never asks for the motors' datasheet peak: 100% pedal is this current, through Kt and the gearbox. The driver adapter inverts the same map, so a maneuver's scripted torque is what the firmware actually commands. Mirrors the C #define; if the firmware changes it, change it here.</t>
        </is>
      </c>
    </row>
    <row r="39">
      <c r="A39" s="3" t="inlineStr">
        <is>
          <t>Pack voltage</t>
        </is>
      </c>
      <c r="B39" s="3" t="inlineStr">
        <is>
          <t>V_DC</t>
        </is>
      </c>
      <c r="C39" s="3" t="inlineStr">
        <is>
          <t>drivetrain.pack_voltage</t>
        </is>
      </c>
      <c r="D39" s="3" t="inlineStr">
        <is>
          <t>Accumulator (HV pack) nominal voltage.</t>
        </is>
      </c>
      <c r="E39" s="6" t="inlineStr">
        <is>
          <t>380</t>
        </is>
      </c>
      <c r="F39" s="3" t="inlineStr">
        <is>
          <t>V</t>
        </is>
      </c>
      <c r="G39" s="7" t="inlineStr">
        <is>
          <t>CURRENT CAR (design decision 2026-08-30)</t>
        </is>
      </c>
      <c r="H39" s="3" t="inlineStr">
        <is>
          <t>Nothing (design value)</t>
        </is>
      </c>
      <c r="I39" s="3" t="inlineStr">
        <is>
          <t>Accumulator design</t>
        </is>
      </c>
      <c r="J39" s="3" t="inlineStr">
        <is>
          <t>Not used directly by the physics — it SETS motor peak power below. 4 motors x 20 kW at 380 V = 80 kW, which is EXACTLY the rules cap. That leaves the cap zero headroom, so it can never bind: the per-motor power limit is the operative constraint at every speed. See power_cap_total.</t>
        </is>
      </c>
    </row>
    <row r="40">
      <c r="A40" s="3" t="inlineStr">
        <is>
          <t>Motor peak power</t>
        </is>
      </c>
      <c r="B40" s="3" t="inlineStr">
        <is>
          <t>P_pk</t>
        </is>
      </c>
      <c r="C40" s="3" t="inlineStr">
        <is>
          <t>drivetrain.motor_power_peak</t>
        </is>
      </c>
      <c r="D40" s="3" t="inlineStr">
        <is>
          <t>Peak mechanical power of ONE motor at OUR pack voltage.</t>
        </is>
      </c>
      <c r="E40" s="4" t="inlineStr">
        <is>
          <t>20,000</t>
        </is>
      </c>
      <c r="F40" s="3" t="inlineStr">
        <is>
          <t>W</t>
        </is>
      </c>
      <c r="G40" s="3" t="inlineStr">
        <is>
          <t>DERIVED (kit curves scaled to 380 V)</t>
        </is>
      </c>
      <c r="H40" s="3" t="inlineStr">
        <is>
          <t>Actual peak power at 380 V</t>
        </is>
      </c>
      <c r="I40" s="3" t="inlineStr">
        <is>
          <t>Read the 380 V curve in the AMK manual; dyno pull once the pack exists</t>
        </is>
      </c>
      <c r="J40" s="3" t="inlineStr">
        <is>
          <t>Caps torque above ~17 m/s (37 mph): at 40 mph only 256 of 273 N*m is available. Four motors top out at 80 kW — numerically identical to the rules cap, so THIS per-motor limit is what actually binds, not the cap.</t>
        </is>
      </c>
    </row>
    <row r="41">
      <c r="A41" s="3" t="inlineStr">
        <is>
          <t>Motor max speed</t>
        </is>
      </c>
      <c r="B41" s="3" t="inlineStr">
        <is>
          <t>n_max</t>
        </is>
      </c>
      <c r="C41" s="3" t="inlineStr">
        <is>
          <t>drivetrain.motor_max_speed</t>
        </is>
      </c>
      <c r="D41" s="3" t="inlineStr">
        <is>
          <t>Maximum motor shaft speed.</t>
        </is>
      </c>
      <c r="E41" s="6" t="inlineStr">
        <is>
          <t>2,094</t>
        </is>
      </c>
      <c r="F41" s="3" t="inlineStr">
        <is>
          <t>rad/s (entered as 20,000 rpm)</t>
        </is>
      </c>
      <c r="G41" s="7" t="inlineStr">
        <is>
          <t>CURRENT CAR (AMK kit datasheet)</t>
        </is>
      </c>
      <c r="H41" s="3" t="inlineStr">
        <is>
          <t>Nothing (datasheet value)</t>
        </is>
      </c>
      <c r="I41" s="3" t="inlineStr">
        <is>
          <t>AMK kit manual 6.5.3 (characteristics end at 20,000 rpm)</t>
        </is>
      </c>
      <c r="J41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42">
      <c r="A42" s="3" t="inlineStr">
        <is>
          <t>Wheel spin inertia, rear corner</t>
        </is>
      </c>
      <c r="B42" s="3" t="inlineStr">
        <is>
          <t>I_w,r</t>
        </is>
      </c>
      <c r="C42" s="3" t="inlineStr">
        <is>
          <t>drivetrain.I_wheel_rear</t>
        </is>
      </c>
      <c r="D42" s="3" t="inlineStr">
        <is>
          <t>Spin inertia of ONE REAR corner about the axle: tire + rim + brake rotor + hub + (motor rotor inertia * gear_ratio^2).</t>
        </is>
      </c>
      <c r="E42" s="4" t="inlineStr">
        <is>
          <t>0.35</t>
        </is>
      </c>
      <c r="F42" s="3" t="inlineStr">
        <is>
          <t>kg*m^2</t>
        </is>
      </c>
      <c r="G42" s="3" t="inlineStr">
        <is>
          <t>DERIVED estimate — replace with CAD</t>
        </is>
      </c>
      <c r="H42" s="3" t="inlineStr">
        <is>
          <t>Rotating inertia of one rear corner</t>
        </is>
      </c>
      <c r="I42" s="3" t="inlineStr">
        <is>
          <t>CAD mass properties + rotor J from the exact AMK motor sheet</t>
        </is>
      </c>
      <c r="J42" s="3" t="inlineStr">
        <is>
          <t>Sets how fast an unloaded wheel spins up — the s-diff's whole problem. Controller gains are sensitive to it: retune when it changes. Together with I_wheel_front it also sets the effective mass the car must accelerate, which verify.py D1 measures against a closed-form coast-down.</t>
        </is>
      </c>
    </row>
    <row r="43">
      <c r="A43" s="3" t="inlineStr">
        <is>
          <t>Wheel spin inertia, front corner</t>
        </is>
      </c>
      <c r="B43" s="3" t="inlineStr">
        <is>
          <t>I_w,f</t>
        </is>
      </c>
      <c r="C43" s="3" t="inlineStr">
        <is>
          <t>drivetrain.I_wheel_front</t>
        </is>
      </c>
      <c r="D43" s="3" t="inlineStr">
        <is>
          <t>Spin inertia of ONE FRONT corner about the axle. Same construction as the rear — same tire, same rim, same in-upright motor and planetary, same brake rotor — so the same number, written as a formula so the ASSUMPTION is visible in the data rather than buried in code.</t>
        </is>
      </c>
      <c r="E43" s="4" t="inlineStr">
        <is>
          <t>0.35</t>
        </is>
      </c>
      <c r="F43" s="3" t="inlineStr">
        <is>
          <t>kg*m^2</t>
        </is>
      </c>
      <c r="G43" s="3" t="inlineStr">
        <is>
          <t>DERIVED — front corner ASSUMED identical to rear; replace when CAD says otherwise</t>
        </is>
      </c>
      <c r="H43" s="3" t="inlineStr">
        <is>
          <t>Rotating inertia of one front corner (CAD)</t>
        </is>
      </c>
      <c r="I43" s="3">
        <f> drivetrain.I_wheel_rear</f>
        <v/>
      </c>
      <c r="J43" s="3" t="inlineStr">
        <is>
          <t>The front rotor spins whether or not that motor is energised, so this number is real for the 2-rear build too. It is the term the sim dropped when it called the fronts "massless free-rollers": worth 2*I/r_w^2 = 13.4 kg of apparent mass, 5.3% of the car, and 0.6% on a 3 s coast-down.</t>
        </is>
      </c>
    </row>
    <row r="44">
      <c r="A44" s="3" t="inlineStr">
        <is>
          <t>Total power cap</t>
        </is>
      </c>
      <c r="B44" s="3" t="inlineStr">
        <is>
          <t>P_max</t>
        </is>
      </c>
      <c r="C44" s="3" t="inlineStr">
        <is>
          <t>drivetrain.power_cap_total</t>
        </is>
      </c>
      <c r="D44" s="3" t="inlineStr">
        <is>
          <t>FSAE EV rules limit on total drive power (EV.4.2, 80 kW at the accumulator).</t>
        </is>
      </c>
      <c r="E44" s="4" t="inlineStr">
        <is>
          <t>80,000</t>
        </is>
      </c>
      <c r="F44" s="3" t="inlineStr">
        <is>
          <t>W</t>
        </is>
      </c>
      <c r="G44" s="3" t="inlineStr">
        <is>
          <t>RULES VALUE (simplified)</t>
        </is>
      </c>
      <c r="H44" s="3" t="inlineStr">
        <is>
          <t>Nothing (rulebook)</t>
        </is>
      </c>
      <c r="I44" s="3" t="inlineStr">
        <is>
          <t>Confirm in the current-year rulebook</t>
        </is>
      </c>
      <c r="J44" s="3" t="inlineStr">
        <is>
          <t>Hard ceiling. The sim applies it to mechanical power (no drivetrain losses modeled) — the real car hits it ~10-15% earlier. PRESENTLY UNREACHABLE: driven_wheels * motor_power_peak == this value exactly, so the per-motor clip already implies it and the total-cap branch is dead code (verify F16 reports the zero headroom). It becomes live the moment motor_power_peak is revised upward — that number is DERIVED from kit curves by three methods spanning 18.1-20.3 kW — or if driveline losses are ever modelled, since the rules limit is electrical at the accumulator while this one is applied to mechanical power.</t>
        </is>
      </c>
    </row>
    <row r="45">
      <c r="A45" s="3" t="inlineStr">
        <is>
          <t>Driven wheels</t>
        </is>
      </c>
      <c r="B45" s="3" t="inlineStr">
        <is>
          <t>n_drv</t>
        </is>
      </c>
      <c r="C45" s="3" t="inlineStr">
        <is>
          <t>drivetrain.driven_wheels</t>
        </is>
      </c>
      <c r="D45" s="3" t="inlineStr">
        <is>
          <t>How many wheels receive drive torque. 4 = one motor per upright; 2 = the rear pair only, which is what the current build runs.</t>
        </is>
      </c>
      <c r="E45" s="6" t="inlineStr">
        <is>
          <t>4</t>
        </is>
      </c>
      <c r="F45" s="3" t="inlineStr">
        <is>
          <t>-</t>
        </is>
      </c>
      <c r="G45" s="7" t="inlineStr">
        <is>
          <t>CURRENT CAR (four motors fitted, one per upright)</t>
        </is>
      </c>
      <c r="H45" s="3" t="inlineStr">
        <is>
          <t>Which inverters are commissioned on the car</t>
        </is>
      </c>
      <c r="I45" s="3" t="inlineStr">
        <is>
          <t>Powertrain: count enabled inverters</t>
        </is>
      </c>
      <c r="J45" s="3" t="inlineStr">
        <is>
          <t>The scale between "peak torque at ONE wheel" and "peak torque the driver can ask for". Every axle-torque budget in the sim is n_drv * T_wheel_max: the maneuver throttle steps, the APPS pedal map, the driver adapter's exact inverse of it, and the plot ceilings.</t>
        </is>
      </c>
    </row>
    <row r="46">
      <c r="A46" s="3" t="inlineStr">
        <is>
          <t>Regen speed cutoff</t>
        </is>
      </c>
      <c r="B46" s="3" t="inlineStr">
        <is>
          <t>-</t>
        </is>
      </c>
      <c r="C46" s="3" t="inlineStr">
        <is>
          <t>drivetrain.regen_speed_cutoff</t>
        </is>
      </c>
      <c r="D46" s="3" t="inlineStr">
        <is>
          <t>Below this speed no negative (regen) torque is commanded.</t>
        </is>
      </c>
      <c r="E46" s="4" t="inlineStr">
        <is>
          <t>1.4</t>
        </is>
      </c>
      <c r="F46" s="3" t="inlineStr">
        <is>
          <t>m/s (~5 km/h)</t>
        </is>
      </c>
      <c r="G46" s="3" t="inlineStr">
        <is>
          <t>RULES VALUE (approx.)</t>
        </is>
      </c>
      <c r="H46" s="3" t="inlineStr">
        <is>
          <t>Nothing (rulebook)</t>
        </is>
      </c>
      <c r="I46" s="3" t="inlineStr">
        <is>
          <t>Confirm in the current-year rulebook</t>
        </is>
      </c>
      <c r="J46" s="3" t="inlineStr">
        <is>
          <t>Rules restrict regen near standstill; also keeps the sim's low-speed slip math out of its untrustworthy zone.</t>
        </is>
      </c>
    </row>
    <row r="47">
      <c r="A47" s="2" t="inlineStr">
        <is>
          <t>MOTORS &amp; INVERTERS — rotor, shaft compliance, command path (full plant)</t>
        </is>
      </c>
    </row>
    <row r="48">
      <c r="A48" s="3" t="inlineStr">
        <is>
          <t>Motor pole pairs</t>
        </is>
      </c>
      <c r="B48" s="3" t="inlineStr">
        <is>
          <t>p</t>
        </is>
      </c>
      <c r="C48" s="3" t="inlineStr">
        <is>
          <t>motors.pole_pairs</t>
        </is>
      </c>
      <c r="D48" s="3" t="inlineStr">
        <is>
          <t>Number of rotor pole pairs. ERPM = pole_pairs x mechanical rpm.</t>
        </is>
      </c>
      <c r="E48" s="4" t="inlineStr">
        <is>
          <t>5</t>
        </is>
      </c>
      <c r="F48" s="3" t="inlineStr">
        <is>
          <t>-</t>
        </is>
      </c>
      <c r="G48" s="5" t="inlineStr">
        <is>
          <t>PLACEHOLDER — AMK DD5 has 5; confirm from the VESC .xml</t>
        </is>
      </c>
      <c r="H48" s="3" t="inlineStr">
        <is>
          <t>Pole pairs of the in-hub motor</t>
        </is>
      </c>
      <c r="I48" s="3" t="inlineStr">
        <is>
          <t>VESC Tool motor settings / motor datasheet</t>
        </is>
      </c>
      <c r="J48" s="3" t="inlineStr">
        <is>
          <t>Converts the VESC's ERPM status to wheel speed, and Kt = 1.5 x p x flux linkage.</t>
        </is>
      </c>
    </row>
    <row r="49">
      <c r="A49" s="3" t="inlineStr">
        <is>
          <t>Rotor inertia</t>
        </is>
      </c>
      <c r="B49" s="3" t="inlineStr">
        <is>
          <t>J_m</t>
        </is>
      </c>
      <c r="C49" s="3" t="inlineStr">
        <is>
          <t>motors.rotor_inertia</t>
        </is>
      </c>
      <c r="D49" s="3" t="inlineStr">
        <is>
          <t>Inertia of the motor rotor about its own axis (motor side of the gearbox).</t>
        </is>
      </c>
      <c r="E49" s="4" t="inlineStr">
        <is>
          <t>0.000274</t>
        </is>
      </c>
      <c r="F49" s="3" t="inlineStr">
        <is>
          <t>kg*m^2</t>
        </is>
      </c>
      <c r="G49" s="5" t="inlineStr">
        <is>
          <t>PLACEHOLDER — AMK A2370DD datasheet; in-hub motor unknown</t>
        </is>
      </c>
      <c r="H49" s="3" t="inlineStr">
        <is>
          <t>Rotor inertia of the fitted motor</t>
        </is>
      </c>
      <c r="I49" s="3" t="inlineStr">
        <is>
          <t>Motor datasheet</t>
        </is>
      </c>
      <c r="J49" s="3" t="inlineStr">
        <is>
          <t>Reflected through the gear ratio squared it is comparable to the wheel's own inertia, so it sets how fast an unloaded wheel spins up — the whole s-diff problem.</t>
        </is>
      </c>
    </row>
    <row r="50">
      <c r="A50" s="3" t="inlineStr">
        <is>
          <t>Gearbox inertia (wheel side)</t>
        </is>
      </c>
      <c r="B50" s="3" t="inlineStr">
        <is>
          <t>J_g</t>
        </is>
      </c>
      <c r="C50" s="3" t="inlineStr">
        <is>
          <t>motors.gearbox_inertia_wheel_side</t>
        </is>
      </c>
      <c r="D50" s="3" t="inlineStr">
        <is>
          <t>Rotating inertia of the planetary's carrier/output, referred to the wheel. Added to the wheel's spin inertia.</t>
        </is>
      </c>
      <c r="E50" s="4" t="inlineStr">
        <is>
          <t>0.01</t>
        </is>
      </c>
      <c r="F50" s="3" t="inlineStr">
        <is>
          <t>kg*m^2</t>
        </is>
      </c>
      <c r="G50" s="5" t="inlineStr">
        <is>
          <t>PLACEHOLDER — CAD</t>
        </is>
      </c>
      <c r="H50" s="3" t="inlineStr">
        <is>
          <t>Planetary output inertia</t>
        </is>
      </c>
      <c r="I50" s="3" t="inlineStr">
        <is>
          <t>CAD mass properties</t>
        </is>
      </c>
      <c r="J50" s="3" t="inlineStr">
        <is>
          <t>A few % of the wheel inertia.</t>
        </is>
      </c>
    </row>
    <row r="51">
      <c r="A51" s="3" t="inlineStr">
        <is>
          <t>Gearbox efficiency</t>
        </is>
      </c>
      <c r="B51" s="3" t="inlineStr">
        <is>
          <t>eta_g</t>
        </is>
      </c>
      <c r="C51" s="3" t="inlineStr">
        <is>
          <t>motors.gearbox_efficiency</t>
        </is>
      </c>
      <c r="D51" s="3" t="inlineStr">
        <is>
          <t>Mechanical efficiency of the upright planetary. Applied as a loss torque at the motor proportional to |T_s|/G.</t>
        </is>
      </c>
      <c r="E51" s="4" t="inlineStr">
        <is>
          <t>0.97</t>
        </is>
      </c>
      <c r="F51" s="3" t="inlineStr">
        <is>
          <t>-</t>
        </is>
      </c>
      <c r="G51" s="5" t="inlineStr">
        <is>
          <t>PLACEHOLDER — typical single-stage planetary</t>
        </is>
      </c>
      <c r="H51" s="3" t="inlineStr">
        <is>
          <t>Planetary efficiency</t>
        </is>
      </c>
      <c r="I51" s="3" t="inlineStr">
        <is>
          <t>Spec sheet, or dyno (motor power in vs wheel power out)</t>
        </is>
      </c>
      <c r="J51" s="3" t="inlineStr">
        <is>
          <t>3% of every torque is heat, and it is where the rules' 80 kW (electrical) differs from wheel power.</t>
        </is>
      </c>
    </row>
    <row r="52">
      <c r="A52" s="3" t="inlineStr">
        <is>
          <t>Output shaft torsional stiffness</t>
        </is>
      </c>
      <c r="B52" s="3" t="inlineStr">
        <is>
          <t>k_s</t>
        </is>
      </c>
      <c r="C52" s="3" t="inlineStr">
        <is>
          <t>motors.shaft_stiffness</t>
        </is>
      </c>
      <c r="D52" s="3" t="inlineStr">
        <is>
          <t>Torsional stiffness between the planetary output and the wheel.</t>
        </is>
      </c>
      <c r="E52" s="4" t="inlineStr">
        <is>
          <t>20,000</t>
        </is>
      </c>
      <c r="F52" s="3" t="inlineStr">
        <is>
          <t>N*m/rad</t>
        </is>
      </c>
      <c r="G52" s="5" t="inlineStr">
        <is>
          <t>PLACEHOLDER — short in-hub output shaft estimate</t>
        </is>
      </c>
      <c r="H52" s="3" t="inlineStr">
        <is>
          <t>Output shaft / hub stiffness</t>
        </is>
      </c>
      <c r="I52" s="3" t="inlineStr">
        <is>
          <t>CAD/FEA (G J / L of the shaft), or lock the wheel and twist the motor with a torque wrench + encoder</t>
        </is>
      </c>
      <c r="J52" s="3" t="inlineStr">
        <is>
          <t>With the wheel and reflected rotor inertias it sets the driveline's natural frequency (~100 Hz here). A torque step rings at that frequency — the "driveline shudder" the DOF doc wants represented.</t>
        </is>
      </c>
    </row>
    <row r="53">
      <c r="A53" s="3" t="inlineStr">
        <is>
          <t>Output shaft torsional damping</t>
        </is>
      </c>
      <c r="B53" s="3" t="inlineStr">
        <is>
          <t>c_s</t>
        </is>
      </c>
      <c r="C53" s="3" t="inlineStr">
        <is>
          <t>motors.shaft_damping</t>
        </is>
      </c>
      <c r="D53" s="3" t="inlineStr">
        <is>
          <t>Damping of the shaft twist.</t>
        </is>
      </c>
      <c r="E53" s="4" t="inlineStr">
        <is>
          <t>5</t>
        </is>
      </c>
      <c r="F53" s="3" t="inlineStr">
        <is>
          <t>N*m*s/rad</t>
        </is>
      </c>
      <c r="G53" s="5" t="inlineStr">
        <is>
          <t>PLACEHOLDER — ~5% of critical</t>
        </is>
      </c>
      <c r="H53" s="3" t="inlineStr">
        <is>
          <t>Measured decay of a driveline oscillation</t>
        </is>
      </c>
      <c r="I53" s="3" t="inlineStr">
        <is>
          <t>Hammer test / log a torque step and fit the ring-down</t>
        </is>
      </c>
      <c r="J53" s="3" t="inlineStr">
        <is>
          <t>How many cycles a torque step rings for.</t>
        </is>
      </c>
    </row>
    <row r="54">
      <c r="A54" s="3" t="inlineStr">
        <is>
          <t>Driveline backlash</t>
        </is>
      </c>
      <c r="B54" s="3" t="inlineStr">
        <is>
          <t>theta_bl</t>
        </is>
      </c>
      <c r="C54" s="3" t="inlineStr">
        <is>
          <t>motors.backlash</t>
        </is>
      </c>
      <c r="D54" s="3" t="inlineStr">
        <is>
          <t>Total angular play at the wheel across which the shaft carries no torque.</t>
        </is>
      </c>
      <c r="E54" s="4" t="inlineStr">
        <is>
          <t>0</t>
        </is>
      </c>
      <c r="F54" s="3" t="inlineStr">
        <is>
          <t>deg</t>
        </is>
      </c>
      <c r="G54" s="5" t="inlineStr">
        <is>
          <t>PLACEHOLDER — assumed none</t>
        </is>
      </c>
      <c r="H54" s="3" t="inlineStr">
        <is>
          <t>Backlash at the wheel</t>
        </is>
      </c>
      <c r="I54" s="3" t="inlineStr">
        <is>
          <t>Lock the motor, rock the wheel with a dial gauge</t>
        </is>
      </c>
      <c r="J54" s="3" t="inlineStr">
        <is>
          <t>A torque reversal (regen to drive) crosses the backlash with a clunk — a small torque dead-zone.</t>
        </is>
      </c>
    </row>
    <row r="55">
      <c r="A55" s="3" t="inlineStr">
        <is>
          <t>Motor friction torque</t>
        </is>
      </c>
      <c r="B55" s="3" t="inlineStr">
        <is>
          <t>T_f</t>
        </is>
      </c>
      <c r="C55" s="3" t="inlineStr">
        <is>
          <t>motors.loss_coulomb</t>
        </is>
      </c>
      <c r="D55" s="3" t="inlineStr">
        <is>
          <t>Speed-independent drag torque at the motor shaft (bearings, seals).</t>
        </is>
      </c>
      <c r="E55" s="4" t="inlineStr">
        <is>
          <t>0.05</t>
        </is>
      </c>
      <c r="F55" s="3" t="inlineStr">
        <is>
          <t>N*m</t>
        </is>
      </c>
      <c r="G55" s="5" t="inlineStr">
        <is>
          <t>PLACEHOLDER — bearing/seal drag estimate</t>
        </is>
      </c>
      <c r="H55" s="3" t="inlineStr">
        <is>
          <t>No-load drag</t>
        </is>
      </c>
      <c r="I55" s="3" t="inlineStr">
        <is>
          <t>Spin-down test, or VESC no-load current x Kt</t>
        </is>
      </c>
      <c r="J55" s="3" t="inlineStr">
        <is>
          <t>Part of the coast-down.</t>
        </is>
      </c>
    </row>
    <row r="56">
      <c r="A56" s="3" t="inlineStr">
        <is>
          <t>Motor viscous loss</t>
        </is>
      </c>
      <c r="B56" s="3" t="inlineStr">
        <is>
          <t>b_m</t>
        </is>
      </c>
      <c r="C56" s="3" t="inlineStr">
        <is>
          <t>motors.loss_viscous</t>
        </is>
      </c>
      <c r="D56" s="3" t="inlineStr">
        <is>
          <t>Drag torque per rad/s of rotor speed (windage, iron losses as a torque).</t>
        </is>
      </c>
      <c r="E56" s="4" t="inlineStr">
        <is>
          <t>1e-05</t>
        </is>
      </c>
      <c r="F56" s="3" t="inlineStr">
        <is>
          <t>N*m/(rad/s)</t>
        </is>
      </c>
      <c r="G56" s="5" t="inlineStr">
        <is>
          <t>PLACEHOLDER — windage estimate</t>
        </is>
      </c>
      <c r="H56" s="3" t="inlineStr">
        <is>
          <t>No-load loss vs speed</t>
        </is>
      </c>
      <c r="I56" s="3" t="inlineStr">
        <is>
          <t>Spin-down test at several speeds</t>
        </is>
      </c>
      <c r="J56" s="3" t="inlineStr">
        <is>
          <t>Coast-down at speed.</t>
        </is>
      </c>
    </row>
    <row r="57">
      <c r="A57" s="3" t="inlineStr">
        <is>
          <t>Motor + inverter efficiency</t>
        </is>
      </c>
      <c r="B57" s="3" t="inlineStr">
        <is>
          <t>eta_m</t>
        </is>
      </c>
      <c r="C57" s="3" t="inlineStr">
        <is>
          <t>motors.efficiency</t>
        </is>
      </c>
      <c r="D57" s="3" t="inlineStr">
        <is>
          <t>Electrical-to-mechanical efficiency used for the pack current: P_elec = T_e omega_m / eta when driving, T_e omega_m x eta under regen. A constant until a measured map eta(T, omega) replaces it.</t>
        </is>
      </c>
      <c r="E57" s="4" t="inlineStr">
        <is>
          <t>0.92</t>
        </is>
      </c>
      <c r="F57" s="3" t="inlineStr">
        <is>
          <t>-</t>
        </is>
      </c>
      <c r="G57" s="5" t="inlineStr">
        <is>
          <t>PLACEHOLDER — constant in place of the efficiency map</t>
        </is>
      </c>
      <c r="H57" s="3" t="inlineStr">
        <is>
          <t>Efficiency map, or at least a few points</t>
        </is>
      </c>
      <c r="I57" s="3" t="inlineStr">
        <is>
          <t>Dyno: electrical power in (VESC input current x DC voltage) vs mechanical power out</t>
        </is>
      </c>
      <c r="J57" s="3" t="inlineStr">
        <is>
          <t>What the pack sees for a given wheel torque — battery current, sag and heating.</t>
        </is>
      </c>
    </row>
    <row r="58">
      <c r="A58" s="3" t="inlineStr">
        <is>
          <t>Max regen torque (motor side)</t>
        </is>
      </c>
      <c r="B58" s="3" t="inlineStr">
        <is>
          <t>T_regen</t>
        </is>
      </c>
      <c r="C58" s="3" t="inlineStr">
        <is>
          <t>motors.regen_torque_max</t>
        </is>
      </c>
      <c r="D58" s="3" t="inlineStr">
        <is>
          <t>Largest negative (regen) torque one motor may produce, at its shaft.</t>
        </is>
      </c>
      <c r="E58" s="4" t="inlineStr">
        <is>
          <t>21</t>
        </is>
      </c>
      <c r="F58" s="3" t="inlineStr">
        <is>
          <t>N*m</t>
        </is>
      </c>
      <c r="G58" s="5" t="inlineStr">
        <is>
          <t>PLACEHOLDER — set to the motor's peak; VESC brake-current limit decides</t>
        </is>
      </c>
      <c r="H58" s="3" t="inlineStr">
        <is>
          <t>VESC brake current max x Kt, and the BMS charge limit</t>
        </is>
      </c>
      <c r="I58" s="3" t="inlineStr">
        <is>
          <t>VESC .xml (l_current_min / brake current), BMS config</t>
        </is>
      </c>
      <c r="J58" s="3" t="inlineStr">
        <is>
          <t>Lift-off mid-corner is a torque split too; this caps it.</t>
        </is>
      </c>
    </row>
    <row r="59">
      <c r="A59" s="3" t="inlineStr">
        <is>
          <t>Inverter current ramp limit</t>
        </is>
      </c>
      <c r="B59" s="3" t="inlineStr">
        <is>
          <t>dI_max</t>
        </is>
      </c>
      <c r="C59" s="3" t="inlineStr">
        <is>
          <t>motors.current_ramp</t>
        </is>
      </c>
      <c r="D59" s="3" t="inlineStr">
        <is>
          <t>Fastest the commanded motor current may change. Applied per VCU cycle (A/s x cycle time).</t>
        </is>
      </c>
      <c r="E59" s="4" t="inlineStr">
        <is>
          <t>2,000</t>
        </is>
      </c>
      <c r="F59" s="3" t="inlineStr">
        <is>
          <t>A/s</t>
        </is>
      </c>
      <c r="G59" s="5" t="inlineStr">
        <is>
          <t>PLACEHOLDER — fast enough to be invisible at the VCU rate</t>
        </is>
      </c>
      <c r="H59" s="3" t="inlineStr">
        <is>
          <t>The VESC's configured ramp (app / motor settings)</t>
        </is>
      </c>
      <c r="I59" s="3" t="inlineStr">
        <is>
          <t>VESC .xml</t>
        </is>
      </c>
      <c r="J59" s="3" t="inlineStr">
        <is>
          <t>A slow ramp delays every torque split by a few VCU cycles.</t>
        </is>
      </c>
    </row>
    <row r="60">
      <c r="A60" s="3" t="inlineStr">
        <is>
          <t>Command latency (CAN to torque)</t>
        </is>
      </c>
      <c r="B60" s="3" t="inlineStr">
        <is>
          <t>t_lat</t>
        </is>
      </c>
      <c r="C60" s="3" t="inlineStr">
        <is>
          <t>motors.command_latency</t>
        </is>
      </c>
      <c r="D60" s="3" t="inlineStr">
        <is>
          <t>Delay between the VCU putting a current command on CAN and the motor producing that torque. Rounded to whole VCU cycles.</t>
        </is>
      </c>
      <c r="E60" s="4" t="inlineStr">
        <is>
          <t>0.01</t>
        </is>
      </c>
      <c r="F60" s="3" t="inlineStr">
        <is>
          <t>ms</t>
        </is>
      </c>
      <c r="G60" s="5" t="inlineStr">
        <is>
          <t>PLACEHOLDER — one VCU cycle</t>
        </is>
      </c>
      <c r="H60" s="3" t="inlineStr">
        <is>
          <t>Measured command-to-torque delay</t>
        </is>
      </c>
      <c r="I60" s="3" t="inlineStr">
        <is>
          <t>Bench: step the CAN command, log VESC current; or compare VCU log vs IMU response</t>
        </is>
      </c>
      <c r="J60" s="3" t="inlineStr">
        <is>
          <t>Dead time in the TV loop — the main thing that limits controller gain.</t>
        </is>
      </c>
    </row>
    <row r="61">
      <c r="A61" s="3" t="inlineStr">
        <is>
          <t>Nominal bus voltage</t>
        </is>
      </c>
      <c r="B61" s="3" t="inlineStr">
        <is>
          <t>V_nom</t>
        </is>
      </c>
      <c r="C61" s="3" t="inlineStr">
        <is>
          <t>motors.v_bus_nominal</t>
        </is>
      </c>
      <c r="D61" s="3" t="inlineStr">
        <is>
          <t>The voltage the motor_power_peak figure was derived for. Peak power scales with V_bus / V_nom as the pack sags.</t>
        </is>
      </c>
      <c r="E61" s="4" t="inlineStr">
        <is>
          <t>380</t>
        </is>
      </c>
      <c r="F61" s="3" t="inlineStr">
        <is>
          <t>V</t>
        </is>
      </c>
      <c r="G61" s="3" t="inlineStr">
        <is>
          <t>DERIVED</t>
        </is>
      </c>
      <c r="H61" s="3" t="inlineStr">
        <is>
          <t>-</t>
        </is>
      </c>
      <c r="I61" s="3">
        <f> drivetrain.pack_voltage</f>
        <v/>
      </c>
      <c r="J61" s="3" t="inlineStr">
        <is>
          <t>Lets the battery model's voltage sag lower the torque ceiling at speed.</t>
        </is>
      </c>
    </row>
    <row r="62">
      <c r="A62" s="2" t="inlineStr">
        <is>
          <t>BATTERY — 3-zone equivalent-circuit model (full plant)</t>
        </is>
      </c>
    </row>
    <row r="63">
      <c r="A63" s="3" t="inlineStr">
        <is>
          <t>Cells in series</t>
        </is>
      </c>
      <c r="B63" s="3" t="inlineStr">
        <is>
          <t>n_s</t>
        </is>
      </c>
      <c r="C63" s="3" t="inlineStr">
        <is>
          <t>battery.cells_series</t>
        </is>
      </c>
      <c r="D63" s="3" t="inlineStr">
        <is>
          <t>Series cell count of the pack. Split evenly across the three zones.</t>
        </is>
      </c>
      <c r="E63" s="4" t="inlineStr">
        <is>
          <t>96</t>
        </is>
      </c>
      <c r="F63" s="3" t="inlineStr">
        <is>
          <t>-</t>
        </is>
      </c>
      <c r="G63" s="5" t="inlineStr">
        <is>
          <t>PLACEHOLDER — 380 V / 3.96 V nominal</t>
        </is>
      </c>
      <c r="H63" s="3" t="inlineStr">
        <is>
          <t>Pack topology</t>
        </is>
      </c>
      <c r="I63" s="3" t="inlineStr">
        <is>
          <t>Accumulator design</t>
        </is>
      </c>
      <c r="J63" s="3" t="inlineStr">
        <is>
          <t>Pack voltage = n_s x cell voltage.</t>
        </is>
      </c>
    </row>
    <row r="64">
      <c r="A64" s="3" t="inlineStr">
        <is>
          <t>Cells in parallel</t>
        </is>
      </c>
      <c r="B64" s="3" t="inlineStr">
        <is>
          <t>n_p</t>
        </is>
      </c>
      <c r="C64" s="3" t="inlineStr">
        <is>
          <t>battery.cells_parallel</t>
        </is>
      </c>
      <c r="D64" s="3" t="inlineStr">
        <is>
          <t>Parallel cell count per series group.</t>
        </is>
      </c>
      <c r="E64" s="4" t="inlineStr">
        <is>
          <t>3</t>
        </is>
      </c>
      <c r="F64" s="3" t="inlineStr">
        <is>
          <t>-</t>
        </is>
      </c>
      <c r="G64" s="5" t="inlineStr">
        <is>
          <t>PLACEHOLDER — accumulator design</t>
        </is>
      </c>
      <c r="H64" s="3" t="inlineStr">
        <is>
          <t>Pack topology</t>
        </is>
      </c>
      <c r="I64" s="3" t="inlineStr">
        <is>
          <t>Accumulator design</t>
        </is>
      </c>
      <c r="J64" s="3" t="inlineStr">
        <is>
          <t>Cell current = pack current / n_p; sets sag and heating per cell.</t>
        </is>
      </c>
    </row>
    <row r="65">
      <c r="A65" s="3" t="inlineStr">
        <is>
          <t>Thermal/electrical zones</t>
        </is>
      </c>
      <c r="B65" s="3" t="inlineStr">
        <is>
          <t>n_z</t>
        </is>
      </c>
      <c r="C65" s="3" t="inlineStr">
        <is>
          <t>battery.zones</t>
        </is>
      </c>
      <c r="D65" s="3" t="inlineStr">
        <is>
          <t>Number of series zones the pack is split into so a hot spot can appear. The model is written for 3.</t>
        </is>
      </c>
      <c r="E65" s="4" t="inlineStr">
        <is>
          <t>3</t>
        </is>
      </c>
      <c r="F65" s="3" t="inlineStr">
        <is>
          <t>-</t>
        </is>
      </c>
      <c r="G65" s="3" t="inlineStr">
        <is>
          <t>CONSTANT (model structure)</t>
        </is>
      </c>
      <c r="H65" s="3" t="inlineStr">
        <is>
          <t>-</t>
        </is>
      </c>
      <c r="I65" s="3" t="inlineStr">
        <is>
          <t>-</t>
        </is>
      </c>
      <c r="J65" s="3" t="inlineStr">
        <is>
          <t>The DOF doc's 3-zone model: 9 electrical + 6 thermal states.</t>
        </is>
      </c>
    </row>
    <row r="66">
      <c r="A66" s="3" t="inlineStr">
        <is>
          <t>Cell capacity</t>
        </is>
      </c>
      <c r="B66" s="3" t="inlineStr">
        <is>
          <t>Q_cap</t>
        </is>
      </c>
      <c r="C66" s="3" t="inlineStr">
        <is>
          <t>battery.capacity_cell</t>
        </is>
      </c>
      <c r="D66" s="3" t="inlineStr">
        <is>
          <t>Rated capacity of one cell.</t>
        </is>
      </c>
      <c r="E66" s="4" t="inlineStr">
        <is>
          <t>18,000</t>
        </is>
      </c>
      <c r="F66" s="3" t="inlineStr">
        <is>
          <t>Ah</t>
        </is>
      </c>
      <c r="G66" s="5" t="inlineStr">
        <is>
          <t>PLACEHOLDER — cell datasheet</t>
        </is>
      </c>
      <c r="H66" s="3" t="inlineStr">
        <is>
          <t>Cell datasheet</t>
        </is>
      </c>
      <c r="I66" s="3" t="inlineStr">
        <is>
          <t>Datasheet, or a C/5 discharge test</t>
        </is>
      </c>
      <c r="J66" s="3" t="inlineStr">
        <is>
          <t>How fast SOC falls for a given current.</t>
        </is>
      </c>
    </row>
    <row r="67">
      <c r="A67" s="3" t="inlineStr">
        <is>
          <t>Coulombic efficiency</t>
        </is>
      </c>
      <c r="B67" s="3" t="inlineStr">
        <is>
          <t>eta_c</t>
        </is>
      </c>
      <c r="C67" s="3" t="inlineStr">
        <is>
          <t>battery.coulombic_efficiency</t>
        </is>
      </c>
      <c r="D67" s="3" t="inlineStr">
        <is>
          <t>Charge actually stored per charge delivered.</t>
        </is>
      </c>
      <c r="E67" s="4" t="inlineStr">
        <is>
          <t>0.99</t>
        </is>
      </c>
      <c r="F67" s="3" t="inlineStr">
        <is>
          <t>-</t>
        </is>
      </c>
      <c r="G67" s="5" t="inlineStr">
        <is>
          <t>PLACEHOLDER — typical Li-ion</t>
        </is>
      </c>
      <c r="H67" s="3" t="inlineStr">
        <is>
          <t>Datasheet</t>
        </is>
      </c>
      <c r="I67" s="3" t="inlineStr">
        <is>
          <t>Datasheet</t>
        </is>
      </c>
      <c r="J67" s="3" t="inlineStr">
        <is>
          <t>Second-order on SOC.</t>
        </is>
      </c>
    </row>
    <row r="68">
      <c r="A68" s="3" t="inlineStr">
        <is>
          <t>OCV at 0% SOC</t>
        </is>
      </c>
      <c r="B68" s="3" t="inlineStr">
        <is>
          <t>OCV_0</t>
        </is>
      </c>
      <c r="C68" s="3" t="inlineStr">
        <is>
          <t>battery.ocv_at_empty</t>
        </is>
      </c>
      <c r="D68" s="3" t="inlineStr">
        <is>
          <t>Open-circuit cell voltage at SOC = 0 (linear OCV placeholder).</t>
        </is>
      </c>
      <c r="E68" s="4" t="inlineStr">
        <is>
          <t>3</t>
        </is>
      </c>
      <c r="F68" s="3" t="inlineStr">
        <is>
          <t>V</t>
        </is>
      </c>
      <c r="G68" s="5" t="inlineStr">
        <is>
          <t>PLACEHOLDER — generic NMC</t>
        </is>
      </c>
      <c r="H68" s="3" t="inlineStr">
        <is>
          <t>Datasheet OCV curve</t>
        </is>
      </c>
      <c r="I68" s="3" t="inlineStr">
        <is>
          <t>Datasheet, or slow discharge with rest periods</t>
        </is>
      </c>
      <c r="J68" s="3" t="inlineStr">
        <is>
          <t>Pack voltage at a given SOC.</t>
        </is>
      </c>
    </row>
    <row r="69">
      <c r="A69" s="3" t="inlineStr">
        <is>
          <t>OCV at 100% SOC</t>
        </is>
      </c>
      <c r="B69" s="3" t="inlineStr">
        <is>
          <t>OCV_1</t>
        </is>
      </c>
      <c r="C69" s="3" t="inlineStr">
        <is>
          <t>battery.ocv_at_full</t>
        </is>
      </c>
      <c r="D69" s="3" t="inlineStr">
        <is>
          <t>Open-circuit cell voltage at SOC = 1.</t>
        </is>
      </c>
      <c r="E69" s="4" t="inlineStr">
        <is>
          <t>4.2</t>
        </is>
      </c>
      <c r="F69" s="3" t="inlineStr">
        <is>
          <t>V</t>
        </is>
      </c>
      <c r="G69" s="5" t="inlineStr">
        <is>
          <t>PLACEHOLDER — generic NMC</t>
        </is>
      </c>
      <c r="H69" s="3" t="inlineStr">
        <is>
          <t>Datasheet OCV curve</t>
        </is>
      </c>
      <c r="I69" s="3" t="inlineStr">
        <is>
          <t>Datasheet</t>
        </is>
      </c>
      <c r="J69" s="3" t="inlineStr">
        <is>
          <t>Pack voltage at full charge.</t>
        </is>
      </c>
    </row>
    <row r="70">
      <c r="A70" s="3" t="inlineStr">
        <is>
          <t>Cell ohmic resistance at 25 C</t>
        </is>
      </c>
      <c r="B70" s="3" t="inlineStr">
        <is>
          <t>R0</t>
        </is>
      </c>
      <c r="C70" s="3" t="inlineStr">
        <is>
          <t>battery.r0_ref</t>
        </is>
      </c>
      <c r="D70" s="3" t="inlineStr">
        <is>
          <t>Instantaneous internal resistance of one cell at the reference temperature.</t>
        </is>
      </c>
      <c r="E70" s="4" t="inlineStr">
        <is>
          <t>0.01</t>
        </is>
      </c>
      <c r="F70" s="3" t="inlineStr">
        <is>
          <t>mohm</t>
        </is>
      </c>
      <c r="G70" s="5" t="inlineStr">
        <is>
          <t>PLACEHOLDER — HPPC test</t>
        </is>
      </c>
      <c r="H70" s="3" t="inlineStr">
        <is>
          <t>HPPC pulse test (instant voltage step / current step)</t>
        </is>
      </c>
      <c r="I70" s="3" t="inlineStr">
        <is>
          <t>HPPC at several SOC and temperatures</t>
        </is>
      </c>
      <c r="J70" s="3" t="inlineStr">
        <is>
          <t>Voltage sag under load — lowers the motors' torque ceiling at speed — and I^2 R heating.</t>
        </is>
      </c>
    </row>
    <row r="71">
      <c r="A71" s="3" t="inlineStr">
        <is>
          <t>R0 temperature coefficient</t>
        </is>
      </c>
      <c r="B71" s="3" t="inlineStr">
        <is>
          <t>dR0_dT</t>
        </is>
      </c>
      <c r="C71" s="3" t="inlineStr">
        <is>
          <t>battery.r0_tempco</t>
        </is>
      </c>
      <c r="D71" s="3" t="inlineStr">
        <is>
          <t>Fractional change of R0 per kelvin above 25 C (negative: warm cells have less resistance).</t>
        </is>
      </c>
      <c r="E71" s="4" t="inlineStr">
        <is>
          <t>-0.01</t>
        </is>
      </c>
      <c r="F71" s="3" t="inlineStr">
        <is>
          <t>1/K</t>
        </is>
      </c>
      <c r="G71" s="5" t="inlineStr">
        <is>
          <t>PLACEHOLDER — ~-1%/K typical Li-ion</t>
        </is>
      </c>
      <c r="H71" s="3" t="inlineStr">
        <is>
          <t>HPPC at two temperatures</t>
        </is>
      </c>
      <c r="I71" s="3" t="inlineStr">
        <is>
          <t>HPPC</t>
        </is>
      </c>
      <c r="J71" s="3" t="inlineStr">
        <is>
          <t>The hot-spot feedback the 3-zone model exists to show (hotter zone, lower R, more current share... and vice versa).</t>
        </is>
      </c>
    </row>
    <row r="72">
      <c r="A72" s="3" t="inlineStr">
        <is>
          <t>Fast RC resistance</t>
        </is>
      </c>
      <c r="B72" s="3" t="inlineStr">
        <is>
          <t>R1</t>
        </is>
      </c>
      <c r="C72" s="3" t="inlineStr">
        <is>
          <t>battery.r1</t>
        </is>
      </c>
      <c r="D72" s="3" t="inlineStr">
        <is>
          <t>Resistance of the fast polarisation branch (per cell).</t>
        </is>
      </c>
      <c r="E72" s="4" t="inlineStr">
        <is>
          <t>0.005</t>
        </is>
      </c>
      <c r="F72" s="3" t="inlineStr">
        <is>
          <t>mohm</t>
        </is>
      </c>
      <c r="G72" s="5" t="inlineStr">
        <is>
          <t>PLACEHOLDER — HPPC fit</t>
        </is>
      </c>
      <c r="H72" s="3" t="inlineStr">
        <is>
          <t>HPPC relaxation fit</t>
        </is>
      </c>
      <c r="I72" s="3" t="inlineStr">
        <is>
          <t>Fit the first ~100 ms of the voltage relaxation after a pulse</t>
        </is>
      </c>
      <c r="J72" s="3" t="inlineStr">
        <is>
          <t>Sub-second voltage lag.</t>
        </is>
      </c>
    </row>
    <row r="73">
      <c r="A73" s="3" t="inlineStr">
        <is>
          <t>Fast RC capacitance</t>
        </is>
      </c>
      <c r="B73" s="3" t="inlineStr">
        <is>
          <t>C1</t>
        </is>
      </c>
      <c r="C73" s="3" t="inlineStr">
        <is>
          <t>battery.c1</t>
        </is>
      </c>
      <c r="D73" s="3" t="inlineStr">
        <is>
          <t>Capacitance of the fast branch (per cell).</t>
        </is>
      </c>
      <c r="E73" s="4" t="inlineStr">
        <is>
          <t>20</t>
        </is>
      </c>
      <c r="F73" s="3" t="inlineStr">
        <is>
          <t>F</t>
        </is>
      </c>
      <c r="G73" s="5" t="inlineStr">
        <is>
          <t>PLACEHOLDER — R1 C1 = 0.1 s</t>
        </is>
      </c>
      <c r="H73" s="3" t="inlineStr">
        <is>
          <t>HPPC fit</t>
        </is>
      </c>
      <c r="I73" s="3" t="inlineStr">
        <is>
          <t>Same fit</t>
        </is>
      </c>
      <c r="J73" s="3" t="inlineStr">
        <is>
          <t>Time constant of the fast branch.</t>
        </is>
      </c>
    </row>
    <row r="74">
      <c r="A74" s="3" t="inlineStr">
        <is>
          <t>Slow RC resistance</t>
        </is>
      </c>
      <c r="B74" s="3" t="inlineStr">
        <is>
          <t>R2</t>
        </is>
      </c>
      <c r="C74" s="3" t="inlineStr">
        <is>
          <t>battery.r2</t>
        </is>
      </c>
      <c r="D74" s="3" t="inlineStr">
        <is>
          <t>Resistance of the slow polarisation branch (per cell).</t>
        </is>
      </c>
      <c r="E74" s="4" t="inlineStr">
        <is>
          <t>0.008</t>
        </is>
      </c>
      <c r="F74" s="3" t="inlineStr">
        <is>
          <t>mohm</t>
        </is>
      </c>
      <c r="G74" s="5" t="inlineStr">
        <is>
          <t>PLACEHOLDER — HPPC fit</t>
        </is>
      </c>
      <c r="H74" s="3" t="inlineStr">
        <is>
          <t>HPPC relaxation fit</t>
        </is>
      </c>
      <c r="I74" s="3" t="inlineStr">
        <is>
          <t>Fit the seconds-scale tail of the relaxation</t>
        </is>
      </c>
      <c r="J74" s="3" t="inlineStr">
        <is>
          <t>Seconds-scale voltage lag (a lap's worth of sag build-up).</t>
        </is>
      </c>
    </row>
    <row r="75">
      <c r="A75" s="3" t="inlineStr">
        <is>
          <t>Slow RC capacitance</t>
        </is>
      </c>
      <c r="B75" s="3" t="inlineStr">
        <is>
          <t>C2</t>
        </is>
      </c>
      <c r="C75" s="3" t="inlineStr">
        <is>
          <t>battery.c2</t>
        </is>
      </c>
      <c r="D75" s="3" t="inlineStr">
        <is>
          <t>Capacitance of the slow branch (per cell).</t>
        </is>
      </c>
      <c r="E75" s="4" t="inlineStr">
        <is>
          <t>1,000</t>
        </is>
      </c>
      <c r="F75" s="3" t="inlineStr">
        <is>
          <t>F</t>
        </is>
      </c>
      <c r="G75" s="5" t="inlineStr">
        <is>
          <t>PLACEHOLDER — R2 C2 = 8 s</t>
        </is>
      </c>
      <c r="H75" s="3" t="inlineStr">
        <is>
          <t>HPPC fit</t>
        </is>
      </c>
      <c r="I75" s="3" t="inlineStr">
        <is>
          <t>Same fit</t>
        </is>
      </c>
      <c r="J75" s="3" t="inlineStr">
        <is>
          <t>Time constant of the slow branch.</t>
        </is>
      </c>
    </row>
    <row r="76">
      <c r="A76" s="3" t="inlineStr">
        <is>
          <t>Cell minimum voltage</t>
        </is>
      </c>
      <c r="B76" s="3" t="inlineStr">
        <is>
          <t>V_min</t>
        </is>
      </c>
      <c r="C76" s="3" t="inlineStr">
        <is>
          <t>battery.v_cell_min</t>
        </is>
      </c>
      <c r="D76" s="3" t="inlineStr">
        <is>
          <t>Lowest allowed cell terminal voltage. The model scales discharge power down as any zone approaches it.</t>
        </is>
      </c>
      <c r="E76" s="4" t="inlineStr">
        <is>
          <t>2.8</t>
        </is>
      </c>
      <c r="F76" s="3" t="inlineStr">
        <is>
          <t>V</t>
        </is>
      </c>
      <c r="G76" s="5" t="inlineStr">
        <is>
          <t>PLACEHOLDER — cell datasheet</t>
        </is>
      </c>
      <c r="H76" s="3" t="inlineStr">
        <is>
          <t>Datasheet</t>
        </is>
      </c>
      <c r="I76" s="3" t="inlineStr">
        <is>
          <t>Datasheet</t>
        </is>
      </c>
      <c r="J76" s="3" t="inlineStr">
        <is>
          <t>Where the BMS cuts power on a flat pack.</t>
        </is>
      </c>
    </row>
    <row r="77">
      <c r="A77" s="3" t="inlineStr">
        <is>
          <t>Cell maximum voltage</t>
        </is>
      </c>
      <c r="B77" s="3" t="inlineStr">
        <is>
          <t>V_max</t>
        </is>
      </c>
      <c r="C77" s="3" t="inlineStr">
        <is>
          <t>battery.v_cell_max</t>
        </is>
      </c>
      <c r="D77" s="3" t="inlineStr">
        <is>
          <t>Highest allowed cell terminal voltage. Caps regen on a full pack.</t>
        </is>
      </c>
      <c r="E77" s="4" t="inlineStr">
        <is>
          <t>4.2</t>
        </is>
      </c>
      <c r="F77" s="3" t="inlineStr">
        <is>
          <t>V</t>
        </is>
      </c>
      <c r="G77" s="5" t="inlineStr">
        <is>
          <t>PLACEHOLDER — cell datasheet</t>
        </is>
      </c>
      <c r="H77" s="3" t="inlineStr">
        <is>
          <t>Datasheet</t>
        </is>
      </c>
      <c r="I77" s="3" t="inlineStr">
        <is>
          <t>Datasheet</t>
        </is>
      </c>
      <c r="J77" s="3" t="inlineStr">
        <is>
          <t>Where the BMS cuts regen.</t>
        </is>
      </c>
    </row>
    <row r="78">
      <c r="A78" s="3" t="inlineStr">
        <is>
          <t>Max discharge current per cell</t>
        </is>
      </c>
      <c r="B78" s="3" t="inlineStr">
        <is>
          <t>I_dis</t>
        </is>
      </c>
      <c r="C78" s="3" t="inlineStr">
        <is>
          <t>battery.i_discharge_max_cell</t>
        </is>
      </c>
      <c r="D78" s="3" t="inlineStr">
        <is>
          <t>Continuous discharge current limit of one cell. Pack limit = x cells_parallel.</t>
        </is>
      </c>
      <c r="E78" s="4" t="inlineStr">
        <is>
          <t>100</t>
        </is>
      </c>
      <c r="F78" s="3" t="inlineStr">
        <is>
          <t>A</t>
        </is>
      </c>
      <c r="G78" s="5" t="inlineStr">
        <is>
          <t>PLACEHOLDER — cell datasheet / BMS config</t>
        </is>
      </c>
      <c r="H78" s="3" t="inlineStr">
        <is>
          <t>Datasheet and the BMS setting</t>
        </is>
      </c>
      <c r="I78" s="3" t="inlineStr">
        <is>
          <t>Datasheet, BMS config</t>
        </is>
      </c>
      <c r="J78" s="3" t="inlineStr">
        <is>
          <t>Caps total drive power from the pack side (with the 80 kW rule).</t>
        </is>
      </c>
    </row>
    <row r="79">
      <c r="A79" s="3" t="inlineStr">
        <is>
          <t>Max charge current per cell</t>
        </is>
      </c>
      <c r="B79" s="3" t="inlineStr">
        <is>
          <t>I_chg</t>
        </is>
      </c>
      <c r="C79" s="3" t="inlineStr">
        <is>
          <t>battery.i_charge_max_cell</t>
        </is>
      </c>
      <c r="D79" s="3" t="inlineStr">
        <is>
          <t>Continuous charge (regen) current limit of one cell.</t>
        </is>
      </c>
      <c r="E79" s="4" t="inlineStr">
        <is>
          <t>30</t>
        </is>
      </c>
      <c r="F79" s="3" t="inlineStr">
        <is>
          <t>A</t>
        </is>
      </c>
      <c r="G79" s="5" t="inlineStr">
        <is>
          <t>PLACEHOLDER — cell datasheet / BMS config</t>
        </is>
      </c>
      <c r="H79" s="3" t="inlineStr">
        <is>
          <t>Datasheet and the BMS setting</t>
        </is>
      </c>
      <c r="I79" s="3" t="inlineStr">
        <is>
          <t>Datasheet, BMS config</t>
        </is>
      </c>
      <c r="J79" s="3" t="inlineStr">
        <is>
          <t>Caps regen from the pack side.</t>
        </is>
      </c>
    </row>
    <row r="80">
      <c r="A80" s="3" t="inlineStr">
        <is>
          <t>Initial SOC</t>
        </is>
      </c>
      <c r="B80" s="3" t="inlineStr">
        <is>
          <t>SOC_0</t>
        </is>
      </c>
      <c r="C80" s="3" t="inlineStr">
        <is>
          <t>battery.soc_initial</t>
        </is>
      </c>
      <c r="D80" s="3" t="inlineStr">
        <is>
          <t>State of charge every zone starts a run at.</t>
        </is>
      </c>
      <c r="E80" s="4" t="inlineStr">
        <is>
          <t>0.9</t>
        </is>
      </c>
      <c r="F80" s="3" t="inlineStr">
        <is>
          <t>fraction (0-1)</t>
        </is>
      </c>
      <c r="G80" s="5" t="inlineStr">
        <is>
          <t>PLACEHOLDER — scenario choice</t>
        </is>
      </c>
      <c r="H80" s="3" t="inlineStr">
        <is>
          <t>-</t>
        </is>
      </c>
      <c r="I80" s="3" t="inlineStr">
        <is>
          <t>Pick per test</t>
        </is>
      </c>
      <c r="J80" s="3" t="inlineStr">
        <is>
          <t>Pack voltage, hence the torque ceiling, at the start of the run.</t>
        </is>
      </c>
    </row>
    <row r="81">
      <c r="A81" s="2" t="inlineStr">
        <is>
          <t>BATTERY THERMAL — 3 zones core/surface + coolant (full plant)</t>
        </is>
      </c>
    </row>
    <row r="82">
      <c r="A82" s="3" t="inlineStr">
        <is>
          <t>Zone core heat capacity</t>
        </is>
      </c>
      <c r="B82" s="3" t="inlineStr">
        <is>
          <t>C_core</t>
        </is>
      </c>
      <c r="C82" s="3" t="inlineStr">
        <is>
          <t>battery_thermal.c_core</t>
        </is>
      </c>
      <c r="D82" s="3" t="inlineStr">
        <is>
          <t>Heat capacity of one zone's cell cores (cells per zone x cell mass x specific heat).</t>
        </is>
      </c>
      <c r="E82" s="4" t="inlineStr">
        <is>
          <t>9,600</t>
        </is>
      </c>
      <c r="F82" s="3" t="inlineStr">
        <is>
          <t>J/K</t>
        </is>
      </c>
      <c r="G82" s="5" t="inlineStr">
        <is>
          <t>PLACEHOLDER — 96 cells x 0.1 kg x 1000 J/kg/K</t>
        </is>
      </c>
      <c r="H82" s="3" t="inlineStr">
        <is>
          <t>Cell mass and specific heat</t>
        </is>
      </c>
      <c r="I82" s="3" t="inlineStr">
        <is>
          <t>Cell datasheet; ~1000 J/kg/K for Li-ion</t>
        </is>
      </c>
      <c r="J82" s="3" t="inlineStr">
        <is>
          <t>How fast the cells heat under load.</t>
        </is>
      </c>
    </row>
    <row r="83">
      <c r="A83" s="3" t="inlineStr">
        <is>
          <t>Zone surface heat capacity</t>
        </is>
      </c>
      <c r="B83" s="3" t="inlineStr">
        <is>
          <t>C_surf</t>
        </is>
      </c>
      <c r="C83" s="3" t="inlineStr">
        <is>
          <t>battery_thermal.c_surface</t>
        </is>
      </c>
      <c r="D83" s="3" t="inlineStr">
        <is>
          <t>Heat capacity of one zone's casings, tabs and busbars.</t>
        </is>
      </c>
      <c r="E83" s="4" t="inlineStr">
        <is>
          <t>2,000</t>
        </is>
      </c>
      <c r="F83" s="3" t="inlineStr">
        <is>
          <t>J/K</t>
        </is>
      </c>
      <c r="G83" s="5" t="inlineStr">
        <is>
          <t>PLACEHOLDER — casing + busbars estimate</t>
        </is>
      </c>
      <c r="H83" s="3" t="inlineStr">
        <is>
          <t>Mass of the zone hardware</t>
        </is>
      </c>
      <c r="I83" s="3" t="inlineStr">
        <is>
          <t>CAD / weigh the segment hardware</t>
        </is>
      </c>
      <c r="J83" s="3" t="inlineStr">
        <is>
          <t>Lag between core and coolant temperature.</t>
        </is>
      </c>
    </row>
    <row r="84">
      <c r="A84" s="3" t="inlineStr">
        <is>
          <t>Core-to-surface thermal resistance (per zone)</t>
        </is>
      </c>
      <c r="B84" s="3" t="inlineStr">
        <is>
          <t>R_cs</t>
        </is>
      </c>
      <c r="C84" s="3" t="inlineStr">
        <is>
          <t>battery_thermal.r_core_surface</t>
        </is>
      </c>
      <c r="D84" s="3" t="inlineStr">
        <is>
          <t>Thermal resistance from the cell cores to their surfaces, for the whole zone.</t>
        </is>
      </c>
      <c r="E84" s="4" t="inlineStr">
        <is>
          <t>0.02</t>
        </is>
      </c>
      <c r="F84" s="3" t="inlineStr">
        <is>
          <t>K/W</t>
        </is>
      </c>
      <c r="G84" s="5" t="inlineStr">
        <is>
          <t>PLACEHOLDER — ~2 K/W per cell / 96 cells</t>
        </is>
      </c>
      <c r="H84" s="3" t="inlineStr">
        <is>
          <t>Cell thermal resistance (datasheet) / cells per zone</t>
        </is>
      </c>
      <c r="I84" s="3" t="inlineStr">
        <is>
          <t>Datasheet, or a heat-up test with core and surface thermocouples</t>
        </is>
      </c>
      <c r="J84" s="3" t="inlineStr">
        <is>
          <t>Core temperature runs above the surface the BMS measures.</t>
        </is>
      </c>
    </row>
    <row r="85">
      <c r="A85" s="3" t="inlineStr">
        <is>
          <t>Surface-to-coolant thermal resistance (per zone)</t>
        </is>
      </c>
      <c r="B85" s="3" t="inlineStr">
        <is>
          <t>R_sc</t>
        </is>
      </c>
      <c r="C85" s="3" t="inlineStr">
        <is>
          <t>battery_thermal.r_surface_coolant</t>
        </is>
      </c>
      <c r="D85" s="3" t="inlineStr">
        <is>
          <t>Thermal resistance from the zone's surfaces into the coolant.</t>
        </is>
      </c>
      <c r="E85" s="4" t="inlineStr">
        <is>
          <t>0.05</t>
        </is>
      </c>
      <c r="F85" s="3" t="inlineStr">
        <is>
          <t>K/W</t>
        </is>
      </c>
      <c r="G85" s="5" t="inlineStr">
        <is>
          <t>PLACEHOLDER — cooling-plate design</t>
        </is>
      </c>
      <c r="H85" s="3" t="inlineStr">
        <is>
          <t>Cooling plate contact area and conductance</t>
        </is>
      </c>
      <c r="I85" s="3" t="inlineStr">
        <is>
          <t>Cooling design calc, or a test with inlet/outlet thermocouples</t>
        </is>
      </c>
      <c r="J85" s="3" t="inlineStr">
        <is>
          <t>The bottleneck that decides the steady-state cell temperature.</t>
        </is>
      </c>
    </row>
    <row r="86">
      <c r="A86" s="3" t="inlineStr">
        <is>
          <t>Middle-zone cooling penalty</t>
        </is>
      </c>
      <c r="B86" s="3" t="inlineStr">
        <is>
          <t>f_hot</t>
        </is>
      </c>
      <c r="C86" s="3" t="inlineStr">
        <is>
          <t>battery_thermal.hot_spot_factor</t>
        </is>
      </c>
      <c r="D86" s="3" t="inlineStr">
        <is>
          <t>Multiplier on R_sc for the middle zone (worse cooling in the middle of the pack).</t>
        </is>
      </c>
      <c r="E86" s="4" t="inlineStr">
        <is>
          <t>1.3</t>
        </is>
      </c>
      <c r="F86" s="3" t="inlineStr">
        <is>
          <t>-</t>
        </is>
      </c>
      <c r="G86" s="5" t="inlineStr">
        <is>
          <t>PLACEHOLDER — makes a hot spot appear</t>
        </is>
      </c>
      <c r="H86" s="3" t="inlineStr">
        <is>
          <t>Measured zone temperature spread</t>
        </is>
      </c>
      <c r="I86" s="3" t="inlineStr">
        <is>
          <t>Thermocouples per segment on a run</t>
        </is>
      </c>
      <c r="J86" s="3" t="inlineStr">
        <is>
          <t>Without it the three zones are identical and the 3-zone model is pointless.</t>
        </is>
      </c>
    </row>
    <row r="87">
      <c r="A87" s="3" t="inlineStr">
        <is>
          <t>Coolant heat capacity</t>
        </is>
      </c>
      <c r="B87" s="3" t="inlineStr">
        <is>
          <t>C_cool</t>
        </is>
      </c>
      <c r="C87" s="3" t="inlineStr">
        <is>
          <t>battery_thermal.c_coolant</t>
        </is>
      </c>
      <c r="D87" s="3" t="inlineStr">
        <is>
          <t>Heat capacity of the coolant loop (volume x density x specific heat).</t>
        </is>
      </c>
      <c r="E87" s="4" t="inlineStr">
        <is>
          <t>8,372</t>
        </is>
      </c>
      <c r="F87" s="3" t="inlineStr">
        <is>
          <t>J/K</t>
        </is>
      </c>
      <c r="G87" s="5" t="inlineStr">
        <is>
          <t>PLACEHOLDER — 2 L water</t>
        </is>
      </c>
      <c r="H87" s="3" t="inlineStr">
        <is>
          <t>Coolant volume</t>
        </is>
      </c>
      <c r="I87" s="3" t="inlineStr">
        <is>
          <t>Fill volume x 4186 J/kg/K</t>
        </is>
      </c>
      <c r="J87" s="3" t="inlineStr">
        <is>
          <t>Coolant warms over a run.</t>
        </is>
      </c>
    </row>
    <row r="88">
      <c r="A88" s="3" t="inlineStr">
        <is>
          <t>Radiator heat rejection</t>
        </is>
      </c>
      <c r="B88" s="3" t="inlineStr">
        <is>
          <t>UA</t>
        </is>
      </c>
      <c r="C88" s="3" t="inlineStr">
        <is>
          <t>battery_thermal.ua_radiator</t>
        </is>
      </c>
      <c r="D88" s="3" t="inlineStr">
        <is>
          <t>Heat rejected to ambient per kelvin of coolant-ambient difference.</t>
        </is>
      </c>
      <c r="E88" s="4" t="inlineStr">
        <is>
          <t>50</t>
        </is>
      </c>
      <c r="F88" s="3" t="inlineStr">
        <is>
          <t>W/K</t>
        </is>
      </c>
      <c r="G88" s="5" t="inlineStr">
        <is>
          <t>PLACEHOLDER — radiator spec at driving airflow</t>
        </is>
      </c>
      <c r="H88" s="3" t="inlineStr">
        <is>
          <t>Radiator spec at the car's airflow</t>
        </is>
      </c>
      <c r="I88" s="3" t="inlineStr">
        <is>
          <t>Radiator datasheet, or measure coolant in/out vs speed</t>
        </is>
      </c>
      <c r="J88" s="3" t="inlineStr">
        <is>
          <t>Steady-state coolant temperature.</t>
        </is>
      </c>
    </row>
    <row r="89">
      <c r="A89" s="3" t="inlineStr">
        <is>
          <t>BMS derate start temperature</t>
        </is>
      </c>
      <c r="B89" s="3" t="inlineStr">
        <is>
          <t>T_d0</t>
        </is>
      </c>
      <c r="C89" s="3" t="inlineStr">
        <is>
          <t>battery_thermal.derate_start</t>
        </is>
      </c>
      <c r="D89" s="3" t="inlineStr">
        <is>
          <t>Hottest-zone core temperature at which the BMS begins reducing the discharge current limit.</t>
        </is>
      </c>
      <c r="E89" s="4" t="inlineStr">
        <is>
          <t>50</t>
        </is>
      </c>
      <c r="F89" s="3" t="inlineStr">
        <is>
          <t>degC</t>
        </is>
      </c>
      <c r="G89" s="5" t="inlineStr">
        <is>
          <t>PLACEHOLDER — BMS config</t>
        </is>
      </c>
      <c r="H89" s="3" t="inlineStr">
        <is>
          <t>BMS configuration</t>
        </is>
      </c>
      <c r="I89" s="3" t="inlineStr">
        <is>
          <t>BMS config file</t>
        </is>
      </c>
      <c r="J89" s="3" t="inlineStr">
        <is>
          <t>Where derating starts to cut power.</t>
        </is>
      </c>
    </row>
    <row r="90">
      <c r="A90" s="3" t="inlineStr">
        <is>
          <t>BMS derate end temperature</t>
        </is>
      </c>
      <c r="B90" s="3" t="inlineStr">
        <is>
          <t>T_d1</t>
        </is>
      </c>
      <c r="C90" s="3" t="inlineStr">
        <is>
          <t>battery_thermal.derate_end</t>
        </is>
      </c>
      <c r="D90" s="3" t="inlineStr">
        <is>
          <t>Temperature at which the discharge limit reaches zero (linear ramp from derate_start).</t>
        </is>
      </c>
      <c r="E90" s="4" t="inlineStr">
        <is>
          <t>60</t>
        </is>
      </c>
      <c r="F90" s="3" t="inlineStr">
        <is>
          <t>degC</t>
        </is>
      </c>
      <c r="G90" s="5" t="inlineStr">
        <is>
          <t>PLACEHOLDER — BMS config</t>
        </is>
      </c>
      <c r="H90" s="3" t="inlineStr">
        <is>
          <t>BMS configuration</t>
        </is>
      </c>
      <c r="I90" s="3" t="inlineStr">
        <is>
          <t>BMS config file</t>
        </is>
      </c>
      <c r="J90" s="3" t="inlineStr">
        <is>
          <t>Full cut.</t>
        </is>
      </c>
    </row>
    <row r="91">
      <c r="A91" s="3" t="inlineStr">
        <is>
          <t>Initial cell/coolant temperature</t>
        </is>
      </c>
      <c r="B91" s="3" t="inlineStr">
        <is>
          <t>T_0</t>
        </is>
      </c>
      <c r="C91" s="3" t="inlineStr">
        <is>
          <t>battery_thermal.t_initial</t>
        </is>
      </c>
      <c r="D91" s="3" t="inlineStr">
        <is>
          <t>Every core, surface and the coolant start a run at this temperature.</t>
        </is>
      </c>
      <c r="E91" s="4" t="inlineStr">
        <is>
          <t>25</t>
        </is>
      </c>
      <c r="F91" s="3" t="inlineStr">
        <is>
          <t>degC</t>
        </is>
      </c>
      <c r="G91" s="3" t="inlineStr">
        <is>
          <t>DERIVED — starts at ambient</t>
        </is>
      </c>
      <c r="H91" s="3" t="inlineStr">
        <is>
          <t>-</t>
        </is>
      </c>
      <c r="I91" s="3">
        <f> environment.t_ambient</f>
        <v/>
      </c>
      <c r="J91" s="3" t="inlineStr">
        <is>
          <t>Where the derate starts counting from.</t>
        </is>
      </c>
    </row>
    <row r="92">
      <c r="A92" s="2" t="inlineStr">
        <is>
          <t>BRAKES — hydraulic lag + friction torque (full plant)</t>
        </is>
      </c>
    </row>
    <row r="93">
      <c r="A93" s="3" t="inlineStr">
        <is>
          <t>Brake bias (front share)</t>
        </is>
      </c>
      <c r="B93" s="3" t="inlineStr">
        <is>
          <t>b_f</t>
        </is>
      </c>
      <c r="C93" s="3" t="inlineStr">
        <is>
          <t>brakes.bias_front</t>
        </is>
      </c>
      <c r="D93" s="3" t="inlineStr">
        <is>
          <t>Share of total pedal effort sent to the front circuit. Rear line pressure = front x (1 - b_f) / b_f.</t>
        </is>
      </c>
      <c r="E93" s="4" t="inlineStr">
        <is>
          <t>0.6</t>
        </is>
      </c>
      <c r="F93" s="3" t="inlineStr">
        <is>
          <t>fraction (0-1)</t>
        </is>
      </c>
      <c r="G93" s="5" t="inlineStr">
        <is>
          <t>PLACEHOLDER — balance-bar setting</t>
        </is>
      </c>
      <c r="H93" s="3" t="inlineStr">
        <is>
          <t>Balance-bar position, or measured front/rear pressures</t>
        </is>
      </c>
      <c r="I93" s="3" t="inlineStr">
        <is>
          <t>Two pressure sensors on one pedal stomp</t>
        </is>
      </c>
      <c r="J93" s="3" t="inlineStr">
        <is>
          <t>Which axle locks first.</t>
        </is>
      </c>
    </row>
    <row r="94">
      <c r="A94" s="3" t="inlineStr">
        <is>
          <t>Pedal ratio</t>
        </is>
      </c>
      <c r="B94" s="3" t="inlineStr">
        <is>
          <t>PR</t>
        </is>
      </c>
      <c r="C94" s="3" t="inlineStr">
        <is>
          <t>brakes.pedal_ratio</t>
        </is>
      </c>
      <c r="D94" s="3" t="inlineStr">
        <is>
          <t>Pedal lever ratio (foot travel / master-cylinder travel). Recorded for the pedal-force-to-pressure chain; the sim is driven by pressure.</t>
        </is>
      </c>
      <c r="E94" s="4" t="inlineStr">
        <is>
          <t>4.5</t>
        </is>
      </c>
      <c r="F94" s="3" t="inlineStr">
        <is>
          <t>-</t>
        </is>
      </c>
      <c r="G94" s="5" t="inlineStr">
        <is>
          <t>PLACEHOLDER — CAD</t>
        </is>
      </c>
      <c r="H94" s="3" t="inlineStr">
        <is>
          <t>Pedal geometry</t>
        </is>
      </c>
      <c r="I94" s="3" t="inlineStr">
        <is>
          <t>CAD</t>
        </is>
      </c>
      <c r="J94" s="3" t="inlineStr">
        <is>
          <t>Converts a driver's pedal force into line pressure when a log only has pedal force.</t>
        </is>
      </c>
    </row>
    <row r="95">
      <c r="A95" s="3" t="inlineStr">
        <is>
          <t>Front master-cylinder bore</t>
        </is>
      </c>
      <c r="B95" s="3" t="inlineStr">
        <is>
          <t>d_mc_f</t>
        </is>
      </c>
      <c r="C95" s="3" t="inlineStr">
        <is>
          <t>brakes.master_cyl_bore_front</t>
        </is>
      </c>
      <c r="D95" s="3" t="inlineStr">
        <is>
          <t>Front master-cylinder piston diameter. Same role as pedal_ratio: pedal force -&gt; pressure.</t>
        </is>
      </c>
      <c r="E95" s="4" t="inlineStr">
        <is>
          <t>0.0159</t>
        </is>
      </c>
      <c r="F95" s="3" t="inlineStr">
        <is>
          <t>mm</t>
        </is>
      </c>
      <c r="G95" s="5" t="inlineStr">
        <is>
          <t>PLACEHOLDER — 5/8 in typical</t>
        </is>
      </c>
      <c r="H95" s="3" t="inlineStr">
        <is>
          <t>Part number</t>
        </is>
      </c>
      <c r="I95" s="3" t="inlineStr">
        <is>
          <t>Part spec</t>
        </is>
      </c>
      <c r="J95" s="3" t="inlineStr">
        <is>
          <t>Pedal force to pressure.</t>
        </is>
      </c>
    </row>
    <row r="96">
      <c r="A96" s="3" t="inlineStr">
        <is>
          <t>Rear master-cylinder bore</t>
        </is>
      </c>
      <c r="B96" s="3" t="inlineStr">
        <is>
          <t>d_mc_r</t>
        </is>
      </c>
      <c r="C96" s="3" t="inlineStr">
        <is>
          <t>brakes.master_cyl_bore_rear</t>
        </is>
      </c>
      <c r="D96" s="3" t="inlineStr">
        <is>
          <t>Rear master-cylinder piston diameter.</t>
        </is>
      </c>
      <c r="E96" s="4" t="inlineStr">
        <is>
          <t>0.0178</t>
        </is>
      </c>
      <c r="F96" s="3" t="inlineStr">
        <is>
          <t>mm</t>
        </is>
      </c>
      <c r="G96" s="5" t="inlineStr">
        <is>
          <t>PLACEHOLDER — 0.7 in typical</t>
        </is>
      </c>
      <c r="H96" s="3" t="inlineStr">
        <is>
          <t>Part number</t>
        </is>
      </c>
      <c r="I96" s="3" t="inlineStr">
        <is>
          <t>Part spec</t>
        </is>
      </c>
      <c r="J96" s="3" t="inlineStr">
        <is>
          <t>Pedal force to pressure.</t>
        </is>
      </c>
    </row>
    <row r="97">
      <c r="A97" s="3" t="inlineStr">
        <is>
          <t>Front caliper piston area (one side)</t>
        </is>
      </c>
      <c r="B97" s="3" t="inlineStr">
        <is>
          <t>A_pf</t>
        </is>
      </c>
      <c r="C97" s="3" t="inlineStr">
        <is>
          <t>brakes.piston_area_front</t>
        </is>
      </c>
      <c r="D97" s="3" t="inlineStr">
        <is>
          <t>Total piston area on one side of a front caliper.</t>
        </is>
      </c>
      <c r="E97" s="4" t="inlineStr">
        <is>
          <t>0.000982</t>
        </is>
      </c>
      <c r="F97" s="3" t="inlineStr">
        <is>
          <t>mm^2</t>
        </is>
      </c>
      <c r="G97" s="5" t="inlineStr">
        <is>
          <t>PLACEHOLDER — 2 x 25 mm pistons</t>
        </is>
      </c>
      <c r="H97" s="3" t="inlineStr">
        <is>
          <t>Caliper spec</t>
        </is>
      </c>
      <c r="I97" s="3" t="inlineStr">
        <is>
          <t>Caliper datasheet</t>
        </is>
      </c>
      <c r="J97" s="3" t="inlineStr">
        <is>
          <t>Clamp force = pressure x area.</t>
        </is>
      </c>
    </row>
    <row r="98">
      <c r="A98" s="3" t="inlineStr">
        <is>
          <t>Rear caliper piston area (one side)</t>
        </is>
      </c>
      <c r="B98" s="3" t="inlineStr">
        <is>
          <t>A_pr</t>
        </is>
      </c>
      <c r="C98" s="3" t="inlineStr">
        <is>
          <t>brakes.piston_area_rear</t>
        </is>
      </c>
      <c r="D98" s="3" t="inlineStr">
        <is>
          <t>Total piston area on one side of a rear caliper.</t>
        </is>
      </c>
      <c r="E98" s="4" t="inlineStr">
        <is>
          <t>0.000491</t>
        </is>
      </c>
      <c r="F98" s="3" t="inlineStr">
        <is>
          <t>mm^2</t>
        </is>
      </c>
      <c r="G98" s="5" t="inlineStr">
        <is>
          <t>PLACEHOLDER — 1 x 25 mm piston</t>
        </is>
      </c>
      <c r="H98" s="3" t="inlineStr">
        <is>
          <t>Caliper spec</t>
        </is>
      </c>
      <c r="I98" s="3" t="inlineStr">
        <is>
          <t>Caliper datasheet</t>
        </is>
      </c>
      <c r="J98" s="3" t="inlineStr">
        <is>
          <t>Rear clamp force.</t>
        </is>
      </c>
    </row>
    <row r="99">
      <c r="A99" s="3" t="inlineStr">
        <is>
          <t>Pad friction coefficient</t>
        </is>
      </c>
      <c r="B99" s="3" t="inlineStr">
        <is>
          <t>mu_pad</t>
        </is>
      </c>
      <c r="C99" s="3" t="inlineStr">
        <is>
          <t>brakes.pad_mu</t>
        </is>
      </c>
      <c r="D99" s="3" t="inlineStr">
        <is>
          <t>Pad-on-rotor friction coefficient (warm).</t>
        </is>
      </c>
      <c r="E99" s="4" t="inlineStr">
        <is>
          <t>0.45</t>
        </is>
      </c>
      <c r="F99" s="3" t="inlineStr">
        <is>
          <t>-</t>
        </is>
      </c>
      <c r="G99" s="5" t="inlineStr">
        <is>
          <t>PLACEHOLDER — pad spec</t>
        </is>
      </c>
      <c r="H99" s="3" t="inlineStr">
        <is>
          <t>Pad compound spec</t>
        </is>
      </c>
      <c r="I99" s="3" t="inlineStr">
        <is>
          <t>Pad datasheet</t>
        </is>
      </c>
      <c r="J99" s="3" t="inlineStr">
        <is>
          <t>Clamp force to brake torque.</t>
        </is>
      </c>
    </row>
    <row r="100">
      <c r="A100" s="3" t="inlineStr">
        <is>
          <t>Front effective rotor radius</t>
        </is>
      </c>
      <c r="B100" s="3" t="inlineStr">
        <is>
          <t>R_eff_f</t>
        </is>
      </c>
      <c r="C100" s="3" t="inlineStr">
        <is>
          <t>brakes.r_eff_front</t>
        </is>
      </c>
      <c r="D100" s="3" t="inlineStr">
        <is>
          <t>Mean radius of the front pad contact on the rotor.</t>
        </is>
      </c>
      <c r="E100" s="4" t="inlineStr">
        <is>
          <t>0.09</t>
        </is>
      </c>
      <c r="F100" s="3" t="inlineStr">
        <is>
          <t>m</t>
        </is>
      </c>
      <c r="G100" s="5" t="inlineStr">
        <is>
          <t>PLACEHOLDER — CAD</t>
        </is>
      </c>
      <c r="H100" s="3" t="inlineStr">
        <is>
          <t>Rotor and pad dimensions</t>
        </is>
      </c>
      <c r="I100" s="3" t="inlineStr">
        <is>
          <t>CAD: (outer + inner pad radius) / 2</t>
        </is>
      </c>
      <c r="J100" s="3" t="inlineStr">
        <is>
          <t>Clamp force to torque.</t>
        </is>
      </c>
    </row>
    <row r="101">
      <c r="A101" s="3" t="inlineStr">
        <is>
          <t>Rear effective rotor radius</t>
        </is>
      </c>
      <c r="B101" s="3" t="inlineStr">
        <is>
          <t>R_eff_r</t>
        </is>
      </c>
      <c r="C101" s="3" t="inlineStr">
        <is>
          <t>brakes.r_eff_rear</t>
        </is>
      </c>
      <c r="D101" s="3" t="inlineStr">
        <is>
          <t>Mean radius of the rear pad contact.</t>
        </is>
      </c>
      <c r="E101" s="4" t="inlineStr">
        <is>
          <t>0.085</t>
        </is>
      </c>
      <c r="F101" s="3" t="inlineStr">
        <is>
          <t>m</t>
        </is>
      </c>
      <c r="G101" s="5" t="inlineStr">
        <is>
          <t>PLACEHOLDER — CAD</t>
        </is>
      </c>
      <c r="H101" s="3" t="inlineStr">
        <is>
          <t>Rotor and pad dimensions</t>
        </is>
      </c>
      <c r="I101" s="3" t="inlineStr">
        <is>
          <t>CAD</t>
        </is>
      </c>
      <c r="J101" s="3" t="inlineStr">
        <is>
          <t>Rear clamp force to torque.</t>
        </is>
      </c>
    </row>
    <row r="102">
      <c r="A102" s="3" t="inlineStr">
        <is>
          <t>Friction surfaces per caliper</t>
        </is>
      </c>
      <c r="B102" s="3" t="inlineStr">
        <is>
          <t>N_s</t>
        </is>
      </c>
      <c r="C102" s="3" t="inlineStr">
        <is>
          <t>brakes.n_surfaces</t>
        </is>
      </c>
      <c r="D102" s="3" t="inlineStr">
        <is>
          <t>Two pads per rotor.</t>
        </is>
      </c>
      <c r="E102" s="4" t="inlineStr">
        <is>
          <t>2</t>
        </is>
      </c>
      <c r="F102" s="3" t="inlineStr">
        <is>
          <t>-</t>
        </is>
      </c>
      <c r="G102" s="3" t="inlineStr">
        <is>
          <t>CONSTANT (physical)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Torque = clamp x mu x R x 2.</t>
        </is>
      </c>
    </row>
    <row r="103">
      <c r="A103" s="3" t="inlineStr">
        <is>
          <t>Front hydraulic time constant</t>
        </is>
      </c>
      <c r="B103" s="3" t="inlineStr">
        <is>
          <t>tau_f</t>
        </is>
      </c>
      <c r="C103" s="3" t="inlineStr">
        <is>
          <t>brakes.tau_front</t>
        </is>
      </c>
      <c r="D103" s="3" t="inlineStr">
        <is>
          <t>First-order lag between pedal pressure and front line pressure.</t>
        </is>
      </c>
      <c r="E103" s="4" t="inlineStr">
        <is>
          <t>0.015</t>
        </is>
      </c>
      <c r="F103" s="3" t="inlineStr">
        <is>
          <t>ms</t>
        </is>
      </c>
      <c r="G103" s="5" t="inlineStr">
        <is>
          <t>PLACEHOLDER — bench estimate</t>
        </is>
      </c>
      <c r="H103" s="3" t="inlineStr">
        <is>
          <t>Pressure-sensor step response from a log</t>
        </is>
      </c>
      <c r="I103" s="3" t="inlineStr">
        <is>
          <t>Stomp test with the pressure sensor logged at &gt;= 500 Hz</t>
        </is>
      </c>
      <c r="J103" s="3" t="inlineStr">
        <is>
          <t>Brake lag; the regen request has none, so the two arrive at different times.</t>
        </is>
      </c>
    </row>
    <row r="104">
      <c r="A104" s="3" t="inlineStr">
        <is>
          <t>Rear hydraulic time constant</t>
        </is>
      </c>
      <c r="B104" s="3" t="inlineStr">
        <is>
          <t>tau_r</t>
        </is>
      </c>
      <c r="C104" s="3" t="inlineStr">
        <is>
          <t>brakes.tau_rear</t>
        </is>
      </c>
      <c r="D104" s="3" t="inlineStr">
        <is>
          <t>Same as tau_front, rear line.</t>
        </is>
      </c>
      <c r="E104" s="4" t="inlineStr">
        <is>
          <t>0.015</t>
        </is>
      </c>
      <c r="F104" s="3" t="inlineStr">
        <is>
          <t>ms</t>
        </is>
      </c>
      <c r="G104" s="5" t="inlineStr">
        <is>
          <t>PLACEHOLDER — bench estimate</t>
        </is>
      </c>
      <c r="H104" s="3" t="inlineStr">
        <is>
          <t>Rear pressure step response</t>
        </is>
      </c>
      <c r="I104" s="3" t="inlineStr">
        <is>
          <t>Stomp test</t>
        </is>
      </c>
      <c r="J104" s="3" t="inlineStr">
        <is>
          <t>Rear brake lag.</t>
        </is>
      </c>
    </row>
    <row r="105">
      <c r="A105" s="3" t="inlineStr">
        <is>
          <t>Max line pressure</t>
        </is>
      </c>
      <c r="B105" s="3" t="inlineStr">
        <is>
          <t>P_max</t>
        </is>
      </c>
      <c r="C105" s="3" t="inlineStr">
        <is>
          <t>brakes.p_max</t>
        </is>
      </c>
      <c r="D105" s="3" t="inlineStr">
        <is>
          <t>Front line pressure at a full pedal stomp. Clips the commanded pressure.</t>
        </is>
      </c>
      <c r="E105" s="4" t="inlineStr">
        <is>
          <t>60</t>
        </is>
      </c>
      <c r="F105" s="3" t="inlineStr">
        <is>
          <t>bar</t>
        </is>
      </c>
      <c r="G105" s="5" t="inlineStr">
        <is>
          <t>PLACEHOLDER — pedal-stomp log</t>
        </is>
      </c>
      <c r="H105" s="3" t="inlineStr">
        <is>
          <t>Measured max pressure</t>
        </is>
      </c>
      <c r="I105" s="3" t="inlineStr">
        <is>
          <t>Pedal-stomp log</t>
        </is>
      </c>
      <c r="J105" s="3" t="inlineStr">
        <is>
          <t>What 100% brake means.</t>
        </is>
      </c>
    </row>
    <row r="106">
      <c r="A106" s="2" t="inlineStr">
        <is>
          <t>AERO</t>
        </is>
      </c>
    </row>
    <row r="107">
      <c r="A107" s="3" t="inlineStr">
        <is>
          <t>Lift coefficient</t>
        </is>
      </c>
      <c r="B107" s="3" t="inlineStr">
        <is>
          <t>C_L</t>
        </is>
      </c>
      <c r="C107" s="3" t="inlineStr">
        <is>
          <t>aero.cl_coeff</t>
        </is>
      </c>
      <c r="D107" s="3" t="inlineStr">
        <is>
          <t>Lift (downforce) coefficient, referenced to frontal_area.</t>
        </is>
      </c>
      <c r="E107" s="4" t="inlineStr">
        <is>
          <t>3.18</t>
        </is>
      </c>
      <c r="F107" s="3" t="inlineStr">
        <is>
          <t>-</t>
        </is>
      </c>
      <c r="G107" s="3" t="inlineStr">
        <is>
          <t>FROM REPORT (old car's aero)</t>
        </is>
      </c>
      <c r="H107" s="3" t="inlineStr">
        <is>
          <t>Current car's downforce coefficient</t>
        </is>
      </c>
      <c r="I107" s="3" t="inlineStr">
        <is>
          <t>CFD, then straight-line coast-down / load-cell validation</t>
        </is>
      </c>
      <c r="J107" s="3" t="inlineStr">
        <is>
          <t>Downforce = 0.5*rho*C_L*A*v^2 — free grip that grows with speed^2.</t>
        </is>
      </c>
    </row>
    <row r="108">
      <c r="A108" s="3" t="inlineStr">
        <is>
          <t>Drag coefficient</t>
        </is>
      </c>
      <c r="B108" s="3" t="inlineStr">
        <is>
          <t>C_D</t>
        </is>
      </c>
      <c r="C108" s="3" t="inlineStr">
        <is>
          <t>aero.cd_coeff</t>
        </is>
      </c>
      <c r="D108" s="3" t="inlineStr">
        <is>
          <t>Drag coefficient, same reference area.</t>
        </is>
      </c>
      <c r="E108" s="4" t="inlineStr">
        <is>
          <t>1.36</t>
        </is>
      </c>
      <c r="F108" s="3" t="inlineStr">
        <is>
          <t>-</t>
        </is>
      </c>
      <c r="G108" s="3" t="inlineStr">
        <is>
          <t>FROM REPORT (old car's aero)</t>
        </is>
      </c>
      <c r="H108" s="3" t="inlineStr">
        <is>
          <t>Current car's drag coefficient</t>
        </is>
      </c>
      <c r="I108" s="3" t="inlineStr">
        <is>
          <t>CFD + coast-down test</t>
        </is>
      </c>
      <c r="J108" s="3" t="inlineStr">
        <is>
          <t>Sets top-speed force budget and the torque needed to hold speed in every maneuver.</t>
        </is>
      </c>
    </row>
    <row r="109">
      <c r="A109" s="3" t="inlineStr">
        <is>
          <t>Frontal area</t>
        </is>
      </c>
      <c r="B109" s="3" t="inlineStr">
        <is>
          <t>A_F</t>
        </is>
      </c>
      <c r="C109" s="3" t="inlineStr">
        <is>
          <t>aero.frontal_area</t>
        </is>
      </c>
      <c r="D109" s="3" t="inlineStr">
        <is>
          <t>Aerodynamic frontal reference area.</t>
        </is>
      </c>
      <c r="E109" s="4" t="inlineStr">
        <is>
          <t>1.106</t>
        </is>
      </c>
      <c r="F109" s="3" t="inlineStr">
        <is>
          <t>m^2</t>
        </is>
      </c>
      <c r="G109" s="3" t="inlineStr">
        <is>
          <t>FROM REPORT</t>
        </is>
      </c>
      <c r="H109" s="3" t="inlineStr">
        <is>
          <t>Projected frontal area</t>
        </is>
      </c>
      <c r="I109" s="3" t="inlineStr">
        <is>
          <t>CAD projection</t>
        </is>
      </c>
      <c r="J109" s="3" t="inlineStr">
        <is>
          <t>Only the products C*A enter the physics — keep coefficient and area consistent.</t>
        </is>
      </c>
    </row>
    <row r="110">
      <c r="A110" s="3" t="inlineStr">
        <is>
          <t>ClA (computed)</t>
        </is>
      </c>
      <c r="B110" s="3" t="inlineStr">
        <is>
          <t>C_L*A</t>
        </is>
      </c>
      <c r="C110" s="3" t="inlineStr">
        <is>
          <t>aero.ClA</t>
        </is>
      </c>
      <c r="D110" s="3" t="inlineStr">
        <is>
          <t>The downforce product the sim actually uses.</t>
        </is>
      </c>
      <c r="E110" s="4" t="inlineStr">
        <is>
          <t>3.517</t>
        </is>
      </c>
      <c r="F110" s="3" t="inlineStr">
        <is>
          <t>m^2</t>
        </is>
      </c>
      <c r="G110" s="3" t="inlineStr">
        <is>
          <t>DERIVED</t>
        </is>
      </c>
      <c r="H110" s="3" t="inlineStr">
        <is>
          <t>-</t>
        </is>
      </c>
      <c r="I110" s="3">
        <f> aero.cl_coeff * aero.frontal_area</f>
        <v/>
      </c>
      <c r="J110" s="3" t="inlineStr">
        <is>
          <t>-</t>
        </is>
      </c>
    </row>
    <row r="111">
      <c r="A111" s="3" t="inlineStr">
        <is>
          <t>CdA (computed)</t>
        </is>
      </c>
      <c r="B111" s="3" t="inlineStr">
        <is>
          <t>C_D*A</t>
        </is>
      </c>
      <c r="C111" s="3" t="inlineStr">
        <is>
          <t>aero.CdA</t>
        </is>
      </c>
      <c r="D111" s="3" t="inlineStr">
        <is>
          <t>The drag product the sim actually uses.</t>
        </is>
      </c>
      <c r="E111" s="4" t="inlineStr">
        <is>
          <t>1.504</t>
        </is>
      </c>
      <c r="F111" s="3" t="inlineStr">
        <is>
          <t>m^2</t>
        </is>
      </c>
      <c r="G111" s="3" t="inlineStr">
        <is>
          <t>DERIVED</t>
        </is>
      </c>
      <c r="H111" s="3" t="inlineStr">
        <is>
          <t>-</t>
        </is>
      </c>
      <c r="I111" s="3">
        <f> aero.cd_coeff * aero.frontal_area</f>
        <v/>
      </c>
      <c r="J111" s="3" t="inlineStr">
        <is>
          <t>-</t>
        </is>
      </c>
    </row>
    <row r="112">
      <c r="A112" s="3" t="inlineStr">
        <is>
          <t>Aero balance</t>
        </is>
      </c>
      <c r="B112" s="3" t="inlineStr">
        <is>
          <t>pct_aero_f</t>
        </is>
      </c>
      <c r="C112" s="3" t="inlineStr">
        <is>
          <t>aero.balance_front</t>
        </is>
      </c>
      <c r="D112" s="3" t="inlineStr">
        <is>
          <t>Fraction of total downforce landing on the FRONT axle (0.45 = 45/55).</t>
        </is>
      </c>
      <c r="E112" s="4" t="inlineStr">
        <is>
          <t>0.45</t>
        </is>
      </c>
      <c r="F112" s="3" t="inlineStr">
        <is>
          <t>0-1</t>
        </is>
      </c>
      <c r="G112" s="5" t="inlineStr">
        <is>
          <t>PLACEHOLDER — pure guess</t>
        </is>
      </c>
      <c r="H112" s="3" t="inlineStr">
        <is>
          <t>Center-of-pressure position</t>
        </is>
      </c>
      <c r="I112" s="3" t="inlineStr">
        <is>
          <t>CFD (aero team) — ask for CP height too</t>
        </is>
      </c>
      <c r="J112" s="3" t="inlineStr">
        <is>
          <t>Moves grip between axles as speed rises — shapes high-speed balance directly. One of the last pure guesses outside tires.</t>
        </is>
      </c>
    </row>
    <row r="113">
      <c r="A113" s="3" t="inlineStr">
        <is>
          <t>Centre-of-pressure height</t>
        </is>
      </c>
      <c r="B113" s="3" t="inlineStr">
        <is>
          <t>h_cp</t>
        </is>
      </c>
      <c r="C113" s="3" t="inlineStr">
        <is>
          <t>aero.cop_height</t>
        </is>
      </c>
      <c r="D113" s="3" t="inlineStr">
        <is>
          <t>Height above ground at which the drag force acts.</t>
        </is>
      </c>
      <c r="E113" s="4" t="inlineStr">
        <is>
          <t>0.3</t>
        </is>
      </c>
      <c r="F113" s="3" t="inlineStr">
        <is>
          <t>m</t>
        </is>
      </c>
      <c r="G113" s="5" t="inlineStr">
        <is>
          <t>PLACEHOLDER — CFD</t>
        </is>
      </c>
      <c r="H113" s="3" t="inlineStr">
        <is>
          <t>CoP height from CFD</t>
        </is>
      </c>
      <c r="I113" s="3" t="inlineStr">
        <is>
          <t>CFD (moment about the ground / drag)</t>
        </is>
      </c>
      <c r="J113" s="3" t="inlineStr">
        <is>
          <t>Drag at height pitches the nose up at speed; the planar plant ignores this.</t>
        </is>
      </c>
    </row>
    <row r="114">
      <c r="A114" s="3" t="inlineStr">
        <is>
          <t>Downforce ride-height sensitivity</t>
        </is>
      </c>
      <c r="B114" s="3" t="inlineStr">
        <is>
          <t>dCl_dh</t>
        </is>
      </c>
      <c r="C114" s="3" t="inlineStr">
        <is>
          <t>aero.ride_height_sensitivity</t>
        </is>
      </c>
      <c r="D114" s="3" t="inlineStr">
        <is>
          <t>Fractional change of ClA per mm of mean ride-height change from static (negative: lower = more downforce).</t>
        </is>
      </c>
      <c r="E114" s="4" t="inlineStr">
        <is>
          <t>0</t>
        </is>
      </c>
      <c r="F114" s="3" t="inlineStr">
        <is>
          <t>1/mm</t>
        </is>
      </c>
      <c r="G114" s="5" t="inlineStr">
        <is>
          <t>PLACEHOLDER — assumed 0 until CFD sweeps exist</t>
        </is>
      </c>
      <c r="H114" s="3" t="inlineStr">
        <is>
          <t>CFD at 2-3 ride heights</t>
        </is>
      </c>
      <c r="I114" s="3" t="inlineStr">
        <is>
          <t>CFD sweep</t>
        </is>
      </c>
      <c r="J114" s="3" t="inlineStr">
        <is>
          <t>Squat and dive change the downforce, which changes grip mid-corner.</t>
        </is>
      </c>
    </row>
    <row r="115">
      <c r="A115" s="2" t="inlineStr">
        <is>
          <t>STEERING GEOMETRY</t>
        </is>
      </c>
    </row>
    <row r="116">
      <c r="A116" s="3" t="inlineStr">
        <is>
          <t>Ackermann fraction</t>
        </is>
      </c>
      <c r="B116" s="3" t="inlineStr">
        <is>
          <t>pct_A</t>
        </is>
      </c>
      <c r="C116" s="3" t="inlineStr">
        <is>
          <t>steering.ackermann_fraction</t>
        </is>
      </c>
      <c r="D116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116" s="4" t="inlineStr">
        <is>
          <t>0</t>
        </is>
      </c>
      <c r="F116" s="3" t="inlineStr">
        <is>
          <t>-</t>
        </is>
      </c>
      <c r="G116" s="5" t="inlineStr">
        <is>
          <t>PLACEHOLDER (parallel) — RWheel curve needed</t>
        </is>
      </c>
      <c r="H116" s="3" t="inlineStr">
        <is>
          <t>The steering curve: both wheels' angles vs handwheel angle</t>
        </is>
      </c>
      <c r="I116" s="3" t="inlineStr">
        <is>
          <t>From the steering chart: the LWheel curve is on file, need the RWheel polynomial from the same chart (or a few x, LWheel, RWheel point triples).</t>
        </is>
      </c>
      <c r="J116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117">
      <c r="A117" s="3" t="inlineStr">
        <is>
          <t>Rack c-factor</t>
        </is>
      </c>
      <c r="B117" s="3" t="inlineStr">
        <is>
          <t>c_rack</t>
        </is>
      </c>
      <c r="C117" s="3" t="inlineStr">
        <is>
          <t>steering.c_factor</t>
        </is>
      </c>
      <c r="D117" s="3" t="inlineStr">
        <is>
          <t>Rack travel per handwheel revolution.</t>
        </is>
      </c>
      <c r="E117" s="4" t="inlineStr">
        <is>
          <t>0.06</t>
        </is>
      </c>
      <c r="F117" s="3" t="inlineStr">
        <is>
          <t>mm/rev</t>
        </is>
      </c>
      <c r="G117" s="5" t="inlineStr">
        <is>
          <t>PLACEHOLDER — rack spec</t>
        </is>
      </c>
      <c r="H117" s="3" t="inlineStr">
        <is>
          <t>Rack part spec</t>
        </is>
      </c>
      <c r="I117" s="3" t="inlineStr">
        <is>
          <t>Rack datasheet, or turn the wheel one turn and measure</t>
        </is>
      </c>
      <c r="J117" s="3" t="inlineStr">
        <is>
          <t>Handwheel angle -&gt; rack displacement, the first steering DOF.</t>
        </is>
      </c>
    </row>
    <row r="118">
      <c r="A118" s="3" t="inlineStr">
        <is>
          <t>Rack travel (each way)</t>
        </is>
      </c>
      <c r="B118" s="3" t="inlineStr">
        <is>
          <t>q_max</t>
        </is>
      </c>
      <c r="C118" s="3" t="inlineStr">
        <is>
          <t>steering.rack_travel_max</t>
        </is>
      </c>
      <c r="D118" s="3" t="inlineStr">
        <is>
          <t>Rack displacement from centre to the stop.</t>
        </is>
      </c>
      <c r="E118" s="4" t="inlineStr">
        <is>
          <t>0.015</t>
        </is>
      </c>
      <c r="F118" s="3" t="inlineStr">
        <is>
          <t>mm</t>
        </is>
      </c>
      <c r="G118" s="5" t="inlineStr">
        <is>
          <t>PLACEHOLDER — CAD</t>
        </is>
      </c>
      <c r="H118" s="3" t="inlineStr">
        <is>
          <t>Rack stops</t>
        </is>
      </c>
      <c r="I118" s="3" t="inlineStr">
        <is>
          <t>CAD / measure lock to lock</t>
        </is>
      </c>
      <c r="J118" s="3" t="inlineStr">
        <is>
          <t>The steering lock.</t>
        </is>
      </c>
    </row>
    <row r="119">
      <c r="A119" s="3" t="inlineStr">
        <is>
          <t>Rack effective mass</t>
        </is>
      </c>
      <c r="B119" s="3" t="inlineStr">
        <is>
          <t>m_r</t>
        </is>
      </c>
      <c r="C119" s="3" t="inlineStr">
        <is>
          <t>steering.rack_mass</t>
        </is>
      </c>
      <c r="D119" s="3" t="inlineStr">
        <is>
          <t>Mass of the rack plus the column and handwheel inertia reflected to rack travel.</t>
        </is>
      </c>
      <c r="E119" s="4" t="inlineStr">
        <is>
          <t>2.5</t>
        </is>
      </c>
      <c r="F119" s="3" t="inlineStr">
        <is>
          <t>kg</t>
        </is>
      </c>
      <c r="G119" s="5" t="inlineStr">
        <is>
          <t>PLACEHOLDER — CAD</t>
        </is>
      </c>
      <c r="H119" s="3" t="inlineStr">
        <is>
          <t>Rack + column mass properties</t>
        </is>
      </c>
      <c r="I119" s="3" t="inlineStr">
        <is>
          <t>CAD</t>
        </is>
      </c>
      <c r="J119" s="3" t="inlineStr">
        <is>
          <t>The rack DOF's inertia.</t>
        </is>
      </c>
    </row>
    <row r="120">
      <c r="A120" s="3" t="inlineStr">
        <is>
          <t>Rack friction</t>
        </is>
      </c>
      <c r="B120" s="3" t="inlineStr">
        <is>
          <t>F_fr</t>
        </is>
      </c>
      <c r="C120" s="3" t="inlineStr">
        <is>
          <t>steering.rack_friction</t>
        </is>
      </c>
      <c r="D120" s="3" t="inlineStr">
        <is>
          <t>Coulomb friction force opposing rack motion.</t>
        </is>
      </c>
      <c r="E120" s="4" t="inlineStr">
        <is>
          <t>20</t>
        </is>
      </c>
      <c r="F120" s="3" t="inlineStr">
        <is>
          <t>N</t>
        </is>
      </c>
      <c r="G120" s="5" t="inlineStr">
        <is>
          <t>PLACEHOLDER — estimate</t>
        </is>
      </c>
      <c r="H120" s="3" t="inlineStr">
        <is>
          <t>Rack breakaway force</t>
        </is>
      </c>
      <c r="I120" s="3" t="inlineStr">
        <is>
          <t>Push the rack with a spring scale, wheels off the ground</t>
        </is>
      </c>
      <c r="J120" s="3" t="inlineStr">
        <is>
          <t>Steering dead-band and the knuckles' return.</t>
        </is>
      </c>
    </row>
    <row r="121">
      <c r="A121" s="3" t="inlineStr">
        <is>
          <t>Rack damping</t>
        </is>
      </c>
      <c r="B121" s="3" t="inlineStr">
        <is>
          <t>c_r</t>
        </is>
      </c>
      <c r="C121" s="3" t="inlineStr">
        <is>
          <t>steering.rack_damping</t>
        </is>
      </c>
      <c r="D121" s="3" t="inlineStr">
        <is>
          <t>Viscous damping on rack velocity.</t>
        </is>
      </c>
      <c r="E121" s="4" t="inlineStr">
        <is>
          <t>200</t>
        </is>
      </c>
      <c r="F121" s="3" t="inlineStr">
        <is>
          <t>N*s/m</t>
        </is>
      </c>
      <c r="G121" s="5" t="inlineStr">
        <is>
          <t>PLACEHOLDER — keeps the rack DOF well damped</t>
        </is>
      </c>
      <c r="H121" s="3" t="inlineStr">
        <is>
          <t>-</t>
        </is>
      </c>
      <c r="I121" s="3" t="inlineStr">
        <is>
          <t>Estimate; tune so the rack does not ring</t>
        </is>
      </c>
      <c r="J121" s="3" t="inlineStr">
        <is>
          <t>Numerical and physical damping of the rack DOF.</t>
        </is>
      </c>
    </row>
    <row r="122">
      <c r="A122" s="3" t="inlineStr">
        <is>
          <t>Column torsional stiffness</t>
        </is>
      </c>
      <c r="B122" s="3" t="inlineStr">
        <is>
          <t>k_col</t>
        </is>
      </c>
      <c r="C122" s="3" t="inlineStr">
        <is>
          <t>steering.column_stiffness</t>
        </is>
      </c>
      <c r="D122" s="3" t="inlineStr">
        <is>
          <t>Torsional stiffness from the handwheel to the pinion (column, U-joints).</t>
        </is>
      </c>
      <c r="E122" s="4" t="inlineStr">
        <is>
          <t>150</t>
        </is>
      </c>
      <c r="F122" s="3" t="inlineStr">
        <is>
          <t>N*m/rad</t>
        </is>
      </c>
      <c r="G122" s="5" t="inlineStr">
        <is>
          <t>PLACEHOLDER — measure</t>
        </is>
      </c>
      <c r="H122" s="3" t="inlineStr">
        <is>
          <t>Column stiffness</t>
        </is>
      </c>
      <c r="I122" s="3" t="inlineStr">
        <is>
          <t>Hold the rack, apply a torque wrench at the wheel, measure the angle</t>
        </is>
      </c>
      <c r="J122" s="3" t="inlineStr">
        <is>
          <t>The driver's handwheel does not move the rack instantly under load.</t>
        </is>
      </c>
    </row>
    <row r="123">
      <c r="A123" s="3" t="inlineStr">
        <is>
          <t>Tie-rod / knuckle compliance</t>
        </is>
      </c>
      <c r="B123" s="3" t="inlineStr">
        <is>
          <t>k_delta</t>
        </is>
      </c>
      <c r="C123" s="3" t="inlineStr">
        <is>
          <t>steering.tierod_stiffness</t>
        </is>
      </c>
      <c r="D123" s="3" t="inlineStr">
        <is>
          <t>Torsional stiffness between the rack's kinematic wheel angle and the actual knuckle angle (tie rod, bearings, upright).</t>
        </is>
      </c>
      <c r="E123" s="4" t="inlineStr">
        <is>
          <t>2,005</t>
        </is>
      </c>
      <c r="F123" s="3" t="inlineStr">
        <is>
          <t>N*m/deg</t>
        </is>
      </c>
      <c r="G123" s="5" t="inlineStr">
        <is>
          <t>PLACEHOLDER — measure</t>
        </is>
      </c>
      <c r="H123" s="3" t="inlineStr">
        <is>
          <t>Knuckle compliance under load</t>
        </is>
      </c>
      <c r="I123" s="3" t="inlineStr">
        <is>
          <t>Hold the rack, load the knuckle with a known moment, dial-gauge the angle</t>
        </is>
      </c>
      <c r="J123" s="3" t="inlineStr">
        <is>
          <t>Under aligning torque the wheel points less than the rack asks — compliance understeer.</t>
        </is>
      </c>
    </row>
    <row r="124">
      <c r="A124" s="3" t="inlineStr">
        <is>
          <t>Knuckle inertia about the kingpin</t>
        </is>
      </c>
      <c r="B124" s="3" t="inlineStr">
        <is>
          <t>I_k</t>
        </is>
      </c>
      <c r="C124" s="3" t="inlineStr">
        <is>
          <t>steering.knuckle_inertia</t>
        </is>
      </c>
      <c r="D124" s="3" t="inlineStr">
        <is>
          <t>Inertia of the wheel + upright + motor assembly about the steering axis.</t>
        </is>
      </c>
      <c r="E124" s="4" t="inlineStr">
        <is>
          <t>0.06</t>
        </is>
      </c>
      <c r="F124" s="3" t="inlineStr">
        <is>
          <t>kg*m^2</t>
        </is>
      </c>
      <c r="G124" s="5" t="inlineStr">
        <is>
          <t>PLACEHOLDER — CAD</t>
        </is>
      </c>
      <c r="H124" s="3" t="inlineStr">
        <is>
          <t>CAD mass properties about the kingpin axis</t>
        </is>
      </c>
      <c r="I124" s="3" t="inlineStr">
        <is>
          <t>CAD</t>
        </is>
      </c>
      <c r="J124" s="3" t="inlineStr">
        <is>
          <t>The knuckle DOF's inertia.</t>
        </is>
      </c>
    </row>
    <row r="125">
      <c r="A125" s="3" t="inlineStr">
        <is>
          <t>Knuckle damping</t>
        </is>
      </c>
      <c r="B125" s="3" t="inlineStr">
        <is>
          <t>c_k</t>
        </is>
      </c>
      <c r="C125" s="3" t="inlineStr">
        <is>
          <t>steering.knuckle_damping</t>
        </is>
      </c>
      <c r="D125" s="3" t="inlineStr">
        <is>
          <t>Viscous damping of the knuckle about the kingpin (bearings, ball joints, the tie-rod ends).</t>
        </is>
      </c>
      <c r="E125" s="4" t="inlineStr">
        <is>
          <t>6</t>
        </is>
      </c>
      <c r="F125" s="3" t="inlineStr">
        <is>
          <t>N*m*s/rad</t>
        </is>
      </c>
      <c r="G125" s="5" t="inlineStr">
        <is>
          <t>PLACEHOLDER — set for a 0.27 damping ratio of the knuckle mode (2026-10-22)</t>
        </is>
      </c>
      <c r="H125" s="3" t="inlineStr">
        <is>
          <t>Ring-down of a knuckle after a tap, wheels off the ground</t>
        </is>
      </c>
      <c r="I125" s="3" t="inlineStr">
        <is>
          <t>Hammer test with the SAS logged at &gt;= 500 Hz; fit the decay</t>
        </is>
      </c>
      <c r="J125" s="3" t="inlineStr">
        <is>
          <t>Decides whether the steering shimmies. The knuckle, the lagged lateral force (relaxation length) and the trail form a feedback loop; at 1 N*m*s/rad the sim shimmied at 16 Hz (+/-0.3 deg of knuckle, 2% of extra load transfer) for seconds after a step steer, and with a short relaxation length it went unstable. 6 (zeta ~0.27 with the placeholder inertia and tie-rod stiffness) damps it in a few cycles. A real measurement replaces this.</t>
        </is>
      </c>
    </row>
    <row r="126">
      <c r="A126" s="3" t="inlineStr">
        <is>
          <t>Kingpin inclination</t>
        </is>
      </c>
      <c r="B126" s="3" t="inlineStr">
        <is>
          <t>KPI</t>
        </is>
      </c>
      <c r="C126" s="3" t="inlineStr">
        <is>
          <t>steering.kpi</t>
        </is>
      </c>
      <c r="D126" s="3" t="inlineStr">
        <is>
          <t>Steering-axis inclination seen from the front.</t>
        </is>
      </c>
      <c r="E126" s="4" t="inlineStr">
        <is>
          <t>0.1396</t>
        </is>
      </c>
      <c r="F126" s="3" t="inlineStr">
        <is>
          <t>deg</t>
        </is>
      </c>
      <c r="G126" s="5" t="inlineStr">
        <is>
          <t>PLACEHOLDER — kinematics</t>
        </is>
      </c>
      <c r="H126" s="3" t="inlineStr">
        <is>
          <t>Kinematics / CAD</t>
        </is>
      </c>
      <c r="I126" s="3" t="inlineStr">
        <is>
          <t>Kinematics model</t>
        </is>
      </c>
      <c r="J126" s="3" t="inlineStr">
        <is>
          <t>Jacking and the steering's self-centring with lift; recorded, small effect.</t>
        </is>
      </c>
    </row>
    <row r="127">
      <c r="A127" s="3" t="inlineStr">
        <is>
          <t>Caster</t>
        </is>
      </c>
      <c r="B127" s="3" t="inlineStr">
        <is>
          <t>caster</t>
        </is>
      </c>
      <c r="C127" s="3" t="inlineStr">
        <is>
          <t>steering.caster</t>
        </is>
      </c>
      <c r="D127" s="3" t="inlineStr">
        <is>
          <t>Steering-axis inclination seen from the side (positive = top leaning back).</t>
        </is>
      </c>
      <c r="E127" s="4" t="inlineStr">
        <is>
          <t>0.06981</t>
        </is>
      </c>
      <c r="F127" s="3" t="inlineStr">
        <is>
          <t>deg</t>
        </is>
      </c>
      <c r="G127" s="5" t="inlineStr">
        <is>
          <t>PLACEHOLDER — setup sheet</t>
        </is>
      </c>
      <c r="H127" s="3" t="inlineStr">
        <is>
          <t>Caster setting</t>
        </is>
      </c>
      <c r="I127" s="3" t="inlineStr">
        <is>
          <t>Caster gauge</t>
        </is>
      </c>
      <c r="J127" s="3" t="inlineStr">
        <is>
          <t>Mechanical trail = R x tan(caster), the lever the lateral force uses to turn the wheel back.</t>
        </is>
      </c>
    </row>
    <row r="128">
      <c r="A128" s="3" t="inlineStr">
        <is>
          <t>Scrub radius</t>
        </is>
      </c>
      <c r="B128" s="3" t="inlineStr">
        <is>
          <t>r_scrub</t>
        </is>
      </c>
      <c r="C128" s="3" t="inlineStr">
        <is>
          <t>steering.scrub_radius</t>
        </is>
      </c>
      <c r="D128" s="3" t="inlineStr">
        <is>
          <t>Lateral distance from the steering-axis ground intercept to the contact-patch centre.</t>
        </is>
      </c>
      <c r="E128" s="4" t="inlineStr">
        <is>
          <t>0.02</t>
        </is>
      </c>
      <c r="F128" s="3" t="inlineStr">
        <is>
          <t>mm</t>
        </is>
      </c>
      <c r="G128" s="5" t="inlineStr">
        <is>
          <t>PLACEHOLDER — CAD</t>
        </is>
      </c>
      <c r="H128" s="3" t="inlineStr">
        <is>
          <t>CAD</t>
        </is>
      </c>
      <c r="I128" s="3" t="inlineStr">
        <is>
          <t>CAD / kinematics</t>
        </is>
      </c>
      <c r="J128" s="3" t="inlineStr">
        <is>
          <t>Longitudinal force x scrub radius steers the wheel — torque steer from a left/right torque split.</t>
        </is>
      </c>
    </row>
    <row r="129">
      <c r="A129" s="3" t="inlineStr">
        <is>
          <t>Mechanical trail</t>
        </is>
      </c>
      <c r="B129" s="3" t="inlineStr">
        <is>
          <t>t_mech</t>
        </is>
      </c>
      <c r="C129" s="3" t="inlineStr">
        <is>
          <t>steering.mechanical_trail</t>
        </is>
      </c>
      <c r="D129" s="3" t="inlineStr">
        <is>
          <t>Distance the contact patch trails the steering axis's ground intercept.</t>
        </is>
      </c>
      <c r="E129" s="4" t="inlineStr">
        <is>
          <t>0.01596</t>
        </is>
      </c>
      <c r="F129" s="3" t="inlineStr">
        <is>
          <t>m</t>
        </is>
      </c>
      <c r="G129" s="3" t="inlineStr">
        <is>
          <t>DERIVED — small-angle R x caster</t>
        </is>
      </c>
      <c r="H129" s="3" t="inlineStr">
        <is>
          <t>-</t>
        </is>
      </c>
      <c r="I129" s="3">
        <f> drivetrain.wheel_radius * steering.caster</f>
        <v/>
      </c>
      <c r="J129" s="3" t="inlineStr">
        <is>
          <t>With the pneumatic trail, the arm of the aligning torque about the kingpin.</t>
        </is>
      </c>
    </row>
    <row r="130">
      <c r="A130" s="2" t="inlineStr">
        <is>
          <t>LOAD TRANSFER</t>
        </is>
      </c>
    </row>
    <row r="131">
      <c r="A131" s="3" t="inlineStr">
        <is>
          <t>Front spring rate</t>
        </is>
      </c>
      <c r="B131" s="3" t="inlineStr">
        <is>
          <t>ks_f</t>
        </is>
      </c>
      <c r="C131" s="3" t="inlineStr">
        <is>
          <t>loads.spring_rate_front</t>
        </is>
      </c>
      <c r="D131" s="3" t="inlineStr">
        <is>
          <t>Front suspension spring rate. The planar plant uses only its ratio to the rear; the full plant's suspension/params.yaml derives the front wheel rate from it.</t>
        </is>
      </c>
      <c r="E131" s="4" t="inlineStr">
        <is>
          <t>19,300</t>
        </is>
      </c>
      <c r="F131" s="3" t="inlineStr">
        <is>
          <t>N/m (entered as N/mm)</t>
        </is>
      </c>
      <c r="G131" s="3" t="inlineStr">
        <is>
          <t>FROM REPORT</t>
        </is>
      </c>
      <c r="H131" s="3" t="inlineStr">
        <is>
          <t>Front roll stiffness incl. ARBs and motion ratios</t>
        </is>
      </c>
      <c r="I131" s="3" t="inlineStr">
        <is>
          <t>Suspension team</t>
        </is>
      </c>
      <c r="J131" s="3" t="inlineStr">
        <is>
          <t>Numerator of the lateral load-transfer split.</t>
        </is>
      </c>
    </row>
    <row r="132">
      <c r="A132" s="3" t="inlineStr">
        <is>
          <t>Rear spring rate</t>
        </is>
      </c>
      <c r="B132" s="3" t="inlineStr">
        <is>
          <t>ks_r</t>
        </is>
      </c>
      <c r="C132" s="3" t="inlineStr">
        <is>
          <t>loads.spring_rate_rear</t>
        </is>
      </c>
      <c r="D132" s="3" t="inlineStr">
        <is>
          <t>Rear suspension spring rate. The planar plant uses only its ratio to the front; the full plant derives the rear wheel rate from it.</t>
        </is>
      </c>
      <c r="E132" s="4" t="inlineStr">
        <is>
          <t>24,800</t>
        </is>
      </c>
      <c r="F132" s="3" t="inlineStr">
        <is>
          <t>N/m (entered as N/mm)</t>
        </is>
      </c>
      <c r="G132" s="3" t="inlineStr">
        <is>
          <t>FROM REPORT</t>
        </is>
      </c>
      <c r="H132" s="3" t="inlineStr">
        <is>
          <t>Rear roll stiffness incl. ARBs and motion ratios</t>
        </is>
      </c>
      <c r="I132" s="3" t="inlineStr">
        <is>
          <t>Suspension team</t>
        </is>
      </c>
      <c r="J132" s="3" t="inlineStr">
        <is>
          <t>Denominator half of the lateral load-transfer split.</t>
        </is>
      </c>
    </row>
    <row r="133">
      <c r="A133" s="3" t="inlineStr">
        <is>
          <t>Front lateral-transfer fraction</t>
        </is>
      </c>
      <c r="B133" s="3" t="inlineStr">
        <is>
          <t>-</t>
        </is>
      </c>
      <c r="C133" s="3" t="inlineStr">
        <is>
          <t>loads.lat_transfer_frac_front</t>
        </is>
      </c>
      <c r="D133" s="3" t="inlineStr">
        <is>
          <t>Share of total LATERAL load transfer reacted by the FRONT axle, set by the front/rear roll-stiffness split.</t>
        </is>
      </c>
      <c r="E133" s="4" t="inlineStr">
        <is>
          <t>0.4376</t>
        </is>
      </c>
      <c r="F133" s="3" t="inlineStr">
        <is>
          <t>0-1</t>
        </is>
      </c>
      <c r="G133" s="3" t="inlineStr">
        <is>
          <t>FROM REPORT (spring-rate ratio only) — crude</t>
        </is>
      </c>
      <c r="H133" s="3" t="inlineStr">
        <is>
          <t>Front vs rear roll stiffness</t>
        </is>
      </c>
      <c r="I133" s="3">
        <f> loads.spring_rate_front / (loads.spring_rate_front + loads.spring_rate_rear)</f>
        <v/>
      </c>
      <c r="J133" s="3" t="inlineStr">
        <is>
          <t>Which axle eats the load transfer = which axle loses grip first — trades understeer/oversteer at the limit.</t>
        </is>
      </c>
    </row>
    <row r="134">
      <c r="A134" s="2" t="inlineStr">
        <is>
          <t>SUSPENSION — jounce DOFs, springs, ARBs, kinematics (full plant)</t>
        </is>
      </c>
    </row>
    <row r="135">
      <c r="A135" s="3" t="inlineStr">
        <is>
          <t>Front spring motion ratio</t>
        </is>
      </c>
      <c r="B135" s="3" t="inlineStr">
        <is>
          <t>MR_f</t>
        </is>
      </c>
      <c r="C135" s="3" t="inlineStr">
        <is>
          <t>suspension.motion_ratio_front</t>
        </is>
      </c>
      <c r="D135" s="3" t="inlineStr">
        <is>
          <t>Spring (shock) travel per unit of wheel travel at the front. Wheel rate = spring rate x MR^2.</t>
        </is>
      </c>
      <c r="E135" s="4" t="inlineStr">
        <is>
          <t>1</t>
        </is>
      </c>
      <c r="F135" s="3" t="inlineStr">
        <is>
          <t>-</t>
        </is>
      </c>
      <c r="G135" s="5" t="inlineStr">
        <is>
          <t>PLACEHOLDER — kinematics model</t>
        </is>
      </c>
      <c r="H135" s="3" t="inlineStr">
        <is>
          <t>Front motion ratio at static ride height</t>
        </is>
      </c>
      <c r="I135" s="3" t="inlineStr">
        <is>
          <t>Kinematics model output, or measure shock travel / wheel travel with a dial gauge</t>
        </is>
      </c>
      <c r="J135" s="3" t="inlineStr">
        <is>
          <t>Squared into the wheel rate — a 0.8 ratio makes the front 36% softer than the spring label says.</t>
        </is>
      </c>
    </row>
    <row r="136">
      <c r="A136" s="3" t="inlineStr">
        <is>
          <t>Rear spring motion ratio</t>
        </is>
      </c>
      <c r="B136" s="3" t="inlineStr">
        <is>
          <t>MR_r</t>
        </is>
      </c>
      <c r="C136" s="3" t="inlineStr">
        <is>
          <t>suspension.motion_ratio_rear</t>
        </is>
      </c>
      <c r="D136" s="3" t="inlineStr">
        <is>
          <t>Same as motion_ratio_front, rear.</t>
        </is>
      </c>
      <c r="E136" s="4" t="inlineStr">
        <is>
          <t>1</t>
        </is>
      </c>
      <c r="F136" s="3" t="inlineStr">
        <is>
          <t>-</t>
        </is>
      </c>
      <c r="G136" s="5" t="inlineStr">
        <is>
          <t>PLACEHOLDER — kinematics model</t>
        </is>
      </c>
      <c r="H136" s="3" t="inlineStr">
        <is>
          <t>Rear motion ratio at static ride height</t>
        </is>
      </c>
      <c r="I136" s="3" t="inlineStr">
        <is>
          <t>Kinematics model output, or dial gauge</t>
        </is>
      </c>
      <c r="J136" s="3" t="inlineStr">
        <is>
          <t>Rear wheel rate, hence rear roll stiffness and the load-transfer split.</t>
        </is>
      </c>
    </row>
    <row r="137">
      <c r="A137" s="3" t="inlineStr">
        <is>
          <t>Front wheel rate</t>
        </is>
      </c>
      <c r="B137" s="3" t="inlineStr">
        <is>
          <t>k_wf</t>
        </is>
      </c>
      <c r="C137" s="3" t="inlineStr">
        <is>
          <t>suspension.wheel_rate_front</t>
        </is>
      </c>
      <c r="D137" s="3" t="inlineStr">
        <is>
          <t>Vertical stiffness at the FRONT contact patch from the spring alone (no ARB, no tire).</t>
        </is>
      </c>
      <c r="E137" s="4" t="inlineStr">
        <is>
          <t>19,300</t>
        </is>
      </c>
      <c r="F137" s="3" t="inlineStr">
        <is>
          <t>N/m</t>
        </is>
      </c>
      <c r="G137" s="3" t="inlineStr">
        <is>
          <t>DERIVED</t>
        </is>
      </c>
      <c r="H137" s="3" t="inlineStr">
        <is>
          <t>-</t>
        </is>
      </c>
      <c r="I137" s="3">
        <f> loads.spring_rate_front * suspension.motion_ratio_front ** 2</f>
        <v/>
      </c>
      <c r="J137" s="3" t="inlineStr">
        <is>
          <t>The spring force in the front jounce equations.</t>
        </is>
      </c>
    </row>
    <row r="138">
      <c r="A138" s="3" t="inlineStr">
        <is>
          <t>Rear wheel rate</t>
        </is>
      </c>
      <c r="B138" s="3" t="inlineStr">
        <is>
          <t>k_wr</t>
        </is>
      </c>
      <c r="C138" s="3" t="inlineStr">
        <is>
          <t>suspension.wheel_rate_rear</t>
        </is>
      </c>
      <c r="D138" s="3" t="inlineStr">
        <is>
          <t>Vertical stiffness at the REAR contact patch from the spring alone.</t>
        </is>
      </c>
      <c r="E138" s="4" t="inlineStr">
        <is>
          <t>24,800</t>
        </is>
      </c>
      <c r="F138" s="3" t="inlineStr">
        <is>
          <t>N/m</t>
        </is>
      </c>
      <c r="G138" s="3" t="inlineStr">
        <is>
          <t>DERIVED</t>
        </is>
      </c>
      <c r="H138" s="3" t="inlineStr">
        <is>
          <t>-</t>
        </is>
      </c>
      <c r="I138" s="3">
        <f> loads.spring_rate_rear * suspension.motion_ratio_rear ** 2</f>
        <v/>
      </c>
      <c r="J138" s="3" t="inlineStr">
        <is>
          <t>The spring force in the rear jounce equations.</t>
        </is>
      </c>
    </row>
    <row r="139">
      <c r="A139" s="3" t="inlineStr">
        <is>
          <t>Front anti-roll bar rate (at the wheels)</t>
        </is>
      </c>
      <c r="B139" s="3" t="inlineStr">
        <is>
          <t>k_arb_f</t>
        </is>
      </c>
      <c r="C139" s="3" t="inlineStr">
        <is>
          <t>suspension.arb_rate_front</t>
        </is>
      </c>
      <c r="D139" s="3" t="inlineStr">
        <is>
          <t>Roll stiffness the front ARB adds, as a moment per degree of body roll measured at the wheels (motion ratio already included). 0 = no bar.</t>
        </is>
      </c>
      <c r="E139" s="4" t="inlineStr">
        <is>
          <t>0</t>
        </is>
      </c>
      <c r="F139" s="3" t="inlineStr">
        <is>
          <t>N*m/deg</t>
        </is>
      </c>
      <c r="G139" s="5" t="inlineStr">
        <is>
          <t>PLACEHOLDER — assumed NO front bar; ask</t>
        </is>
      </c>
      <c r="H139" s="3" t="inlineStr">
        <is>
          <t>Front ARB: bar OD/ID, arm length, material, motion ratio — or "none"</t>
        </is>
      </c>
      <c r="I139" s="3" t="inlineStr">
        <is>
          <t>ARB spec sheet + kinematics; or twist test with a torque wrench</t>
        </is>
      </c>
      <c r="J139" s="3" t="inlineStr">
        <is>
          <t>Sets the FRONT share of lateral load transfer. On an s-diff car that share decides whether cutting the inner rear produces yaw or just push.</t>
        </is>
      </c>
    </row>
    <row r="140">
      <c r="A140" s="3" t="inlineStr">
        <is>
          <t>Rear anti-roll bar rate (at the wheels)</t>
        </is>
      </c>
      <c r="B140" s="3" t="inlineStr">
        <is>
          <t>k_arb_r</t>
        </is>
      </c>
      <c r="C140" s="3" t="inlineStr">
        <is>
          <t>suspension.arb_rate_rear</t>
        </is>
      </c>
      <c r="D140" s="3" t="inlineStr">
        <is>
          <t>Same as arb_rate_front, rear.</t>
        </is>
      </c>
      <c r="E140" s="4" t="inlineStr">
        <is>
          <t>0</t>
        </is>
      </c>
      <c r="F140" s="3" t="inlineStr">
        <is>
          <t>N*m/deg</t>
        </is>
      </c>
      <c r="G140" s="5" t="inlineStr">
        <is>
          <t>PLACEHOLDER — assumed NO rear bar; ask</t>
        </is>
      </c>
      <c r="H140" s="3" t="inlineStr">
        <is>
          <t>Rear ARB spec — or "none"</t>
        </is>
      </c>
      <c r="I140" s="3" t="inlineStr">
        <is>
          <t>ARB spec sheet + kinematics</t>
        </is>
      </c>
      <c r="J140" s="3" t="inlineStr">
        <is>
          <t>Rear share of lateral load transfer.</t>
        </is>
      </c>
    </row>
    <row r="141">
      <c r="A141" s="3" t="inlineStr">
        <is>
          <t>Front roll-centre height</t>
        </is>
      </c>
      <c r="B141" s="3" t="inlineStr">
        <is>
          <t>h_rc_f</t>
        </is>
      </c>
      <c r="C141" s="3" t="inlineStr">
        <is>
          <t>suspension.roll_center_height_front</t>
        </is>
      </c>
      <c r="D141" s="3" t="inlineStr">
        <is>
          <t>Height of the front roll centre above ground at static ride height.</t>
        </is>
      </c>
      <c r="E141" s="4" t="inlineStr">
        <is>
          <t>0.03</t>
        </is>
      </c>
      <c r="F141" s="3" t="inlineStr">
        <is>
          <t>m</t>
        </is>
      </c>
      <c r="G141" s="5" t="inlineStr">
        <is>
          <t>PLACEHOLDER — typical FSAE value</t>
        </is>
      </c>
      <c r="H141" s="3" t="inlineStr">
        <is>
          <t>Front roll-centre height from the kinematics model</t>
        </is>
      </c>
      <c r="I141" s="3" t="inlineStr">
        <is>
          <t>Kinematics model at static ride height (or the construction from the wishbone instant centres)</t>
        </is>
      </c>
      <c r="J141" s="3" t="inlineStr">
        <is>
          <t>Lateral force below this height is reacted through the links instantly (geometric transfer); above it, through the springs (elastic, lagging). The split changes how fast the inner wheel unloads on turn-in.</t>
        </is>
      </c>
    </row>
    <row r="142">
      <c r="A142" s="3" t="inlineStr">
        <is>
          <t>Rear roll-centre height</t>
        </is>
      </c>
      <c r="B142" s="3" t="inlineStr">
        <is>
          <t>h_rc_r</t>
        </is>
      </c>
      <c r="C142" s="3" t="inlineStr">
        <is>
          <t>suspension.roll_center_height_rear</t>
        </is>
      </c>
      <c r="D142" s="3" t="inlineStr">
        <is>
          <t>Same as roll_center_height_front, rear.</t>
        </is>
      </c>
      <c r="E142" s="4" t="inlineStr">
        <is>
          <t>0.05</t>
        </is>
      </c>
      <c r="F142" s="3" t="inlineStr">
        <is>
          <t>m</t>
        </is>
      </c>
      <c r="G142" s="5" t="inlineStr">
        <is>
          <t>PLACEHOLDER — typical FSAE value</t>
        </is>
      </c>
      <c r="H142" s="3" t="inlineStr">
        <is>
          <t>Rear roll-centre height</t>
        </is>
      </c>
      <c r="I142" s="3" t="inlineStr">
        <is>
          <t>Kinematics model</t>
        </is>
      </c>
      <c r="J142" s="3" t="inlineStr">
        <is>
          <t>Rear geometric/elastic load-transfer split.</t>
        </is>
      </c>
    </row>
    <row r="143">
      <c r="A143" s="3" t="inlineStr">
        <is>
          <t>Front anti-dive</t>
        </is>
      </c>
      <c r="B143" s="3" t="inlineStr">
        <is>
          <t>AD</t>
        </is>
      </c>
      <c r="C143" s="3" t="inlineStr">
        <is>
          <t>suspension.anti_dive</t>
        </is>
      </c>
      <c r="D143" s="3" t="inlineStr">
        <is>
          <t>Fraction of the front longitudinal load change reacted through the links instead of the springs under braking.</t>
        </is>
      </c>
      <c r="E143" s="4" t="inlineStr">
        <is>
          <t>0.2</t>
        </is>
      </c>
      <c r="F143" s="3" t="inlineStr">
        <is>
          <t>fraction (0-1)</t>
        </is>
      </c>
      <c r="G143" s="5" t="inlineStr">
        <is>
          <t>PLACEHOLDER — typical FSAE value</t>
        </is>
      </c>
      <c r="H143" s="3" t="inlineStr">
        <is>
          <t>Anti-dive % from the side-view geometry</t>
        </is>
      </c>
      <c r="I143" s="3" t="inlineStr">
        <is>
          <t>Kinematics model (side-view instant centre)</t>
        </is>
      </c>
      <c r="J143" s="3" t="inlineStr">
        <is>
          <t>How much the nose dives under braking, which moves aero and camber.</t>
        </is>
      </c>
    </row>
    <row r="144">
      <c r="A144" s="3" t="inlineStr">
        <is>
          <t>Rear anti-squat</t>
        </is>
      </c>
      <c r="B144" s="3" t="inlineStr">
        <is>
          <t>AS</t>
        </is>
      </c>
      <c r="C144" s="3" t="inlineStr">
        <is>
          <t>suspension.anti_squat</t>
        </is>
      </c>
      <c r="D144" s="3" t="inlineStr">
        <is>
          <t>Fraction of the rear longitudinal load change reacted through the links under drive.</t>
        </is>
      </c>
      <c r="E144" s="4" t="inlineStr">
        <is>
          <t>0.2</t>
        </is>
      </c>
      <c r="F144" s="3" t="inlineStr">
        <is>
          <t>fraction (0-1)</t>
        </is>
      </c>
      <c r="G144" s="5" t="inlineStr">
        <is>
          <t>PLACEHOLDER — typical FSAE value</t>
        </is>
      </c>
      <c r="H144" s="3" t="inlineStr">
        <is>
          <t>Anti-squat % from the side-view geometry</t>
        </is>
      </c>
      <c r="I144" s="3" t="inlineStr">
        <is>
          <t>Kinematics model</t>
        </is>
      </c>
      <c r="J144" s="3" t="inlineStr">
        <is>
          <t>Rear squat on corner exit changes rear camber and the aero platform.</t>
        </is>
      </c>
    </row>
    <row r="145">
      <c r="A145" s="3" t="inlineStr">
        <is>
          <t>Front jounce travel (from static)</t>
        </is>
      </c>
      <c r="B145" s="3" t="inlineStr">
        <is>
          <t>s_max_f</t>
        </is>
      </c>
      <c r="C145" s="3" t="inlineStr">
        <is>
          <t>suspension.travel_jounce_front</t>
        </is>
      </c>
      <c r="D145" s="3" t="inlineStr">
        <is>
          <t>Compression available at the front wheel before the hard stop, measured from static ride height.</t>
        </is>
      </c>
      <c r="E145" s="4" t="inlineStr">
        <is>
          <t>0.03</t>
        </is>
      </c>
      <c r="F145" s="3" t="inlineStr">
        <is>
          <t>mm</t>
        </is>
      </c>
      <c r="G145" s="5" t="inlineStr">
        <is>
          <t>PLACEHOLDER — CAD / physical stop</t>
        </is>
      </c>
      <c r="H145" s="3" t="inlineStr">
        <is>
          <t>Front jounce travel</t>
        </is>
      </c>
      <c r="I145" s="3" t="inlineStr">
        <is>
          <t>CAD, or push the car down onto the stops and measure</t>
        </is>
      </c>
      <c r="J145" s="3" t="inlineStr">
        <is>
          <t>The hard limit the bump stop sits inside.</t>
        </is>
      </c>
    </row>
    <row r="146">
      <c r="A146" s="3" t="inlineStr">
        <is>
          <t>Rear jounce travel (from static)</t>
        </is>
      </c>
      <c r="B146" s="3" t="inlineStr">
        <is>
          <t>s_max_r</t>
        </is>
      </c>
      <c r="C146" s="3" t="inlineStr">
        <is>
          <t>suspension.travel_jounce_rear</t>
        </is>
      </c>
      <c r="D146" s="3" t="inlineStr">
        <is>
          <t>Same as travel_jounce_front, rear.</t>
        </is>
      </c>
      <c r="E146" s="4" t="inlineStr">
        <is>
          <t>0.03</t>
        </is>
      </c>
      <c r="F146" s="3" t="inlineStr">
        <is>
          <t>mm</t>
        </is>
      </c>
      <c r="G146" s="5" t="inlineStr">
        <is>
          <t>PLACEHOLDER — CAD / physical stop</t>
        </is>
      </c>
      <c r="H146" s="3" t="inlineStr">
        <is>
          <t>Rear jounce travel</t>
        </is>
      </c>
      <c r="I146" s="3" t="inlineStr">
        <is>
          <t>CAD</t>
        </is>
      </c>
      <c r="J146" s="3" t="inlineStr">
        <is>
          <t>Rear hard stop.</t>
        </is>
      </c>
    </row>
    <row r="147">
      <c r="A147" s="3" t="inlineStr">
        <is>
          <t>Front rebound travel (from static)</t>
        </is>
      </c>
      <c r="B147" s="3" t="inlineStr">
        <is>
          <t>s_min_f</t>
        </is>
      </c>
      <c r="C147" s="3" t="inlineStr">
        <is>
          <t>suspension.travel_rebound_front</t>
        </is>
      </c>
      <c r="D147" s="3" t="inlineStr">
        <is>
          <t>Extension available at the front wheel before the droop stop.</t>
        </is>
      </c>
      <c r="E147" s="4" t="inlineStr">
        <is>
          <t>0.03</t>
        </is>
      </c>
      <c r="F147" s="3" t="inlineStr">
        <is>
          <t>mm</t>
        </is>
      </c>
      <c r="G147" s="5" t="inlineStr">
        <is>
          <t>PLACEHOLDER — CAD / physical stop</t>
        </is>
      </c>
      <c r="H147" s="3" t="inlineStr">
        <is>
          <t>Front rebound travel</t>
        </is>
      </c>
      <c r="I147" s="3" t="inlineStr">
        <is>
          <t>CAD, or lift the car and measure droop</t>
        </is>
      </c>
      <c r="J147" s="3" t="inlineStr">
        <is>
          <t>Where an unloading inner wheel runs out of droop and lifts.</t>
        </is>
      </c>
    </row>
    <row r="148">
      <c r="A148" s="3" t="inlineStr">
        <is>
          <t>Rear rebound travel (from static)</t>
        </is>
      </c>
      <c r="B148" s="3" t="inlineStr">
        <is>
          <t>s_min_r</t>
        </is>
      </c>
      <c r="C148" s="3" t="inlineStr">
        <is>
          <t>suspension.travel_rebound_rear</t>
        </is>
      </c>
      <c r="D148" s="3" t="inlineStr">
        <is>
          <t>Same as travel_rebound_front, rear.</t>
        </is>
      </c>
      <c r="E148" s="4" t="inlineStr">
        <is>
          <t>0.03</t>
        </is>
      </c>
      <c r="F148" s="3" t="inlineStr">
        <is>
          <t>mm</t>
        </is>
      </c>
      <c r="G148" s="5" t="inlineStr">
        <is>
          <t>PLACEHOLDER — CAD / physical stop</t>
        </is>
      </c>
      <c r="H148" s="3" t="inlineStr">
        <is>
          <t>Rear rebound travel</t>
        </is>
      </c>
      <c r="I148" s="3" t="inlineStr">
        <is>
          <t>CAD</t>
        </is>
      </c>
      <c r="J148" s="3" t="inlineStr">
        <is>
          <t>Rear droop limit.</t>
        </is>
      </c>
    </row>
    <row r="149">
      <c r="A149" s="3" t="inlineStr">
        <is>
          <t>Front bump-stop gap (from static)</t>
        </is>
      </c>
      <c r="B149" s="3" t="inlineStr">
        <is>
          <t>g_bs_f</t>
        </is>
      </c>
      <c r="C149" s="3" t="inlineStr">
        <is>
          <t>suspension.bump_stop_gap_front</t>
        </is>
      </c>
      <c r="D149" s="3" t="inlineStr">
        <is>
          <t>Wheel travel from static before the front bump stop starts carrying load.</t>
        </is>
      </c>
      <c r="E149" s="4" t="inlineStr">
        <is>
          <t>0.02</t>
        </is>
      </c>
      <c r="F149" s="3" t="inlineStr">
        <is>
          <t>mm</t>
        </is>
      </c>
      <c r="G149" s="5" t="inlineStr">
        <is>
          <t>PLACEHOLDER — setup sheet</t>
        </is>
      </c>
      <c r="H149" s="3" t="inlineStr">
        <is>
          <t>Bump-stop gap at the wheel</t>
        </is>
      </c>
      <c r="I149" s="3" t="inlineStr">
        <is>
          <t>Setup sheet (shock-shaft gap x motion ratio)</t>
        </is>
      </c>
      <c r="J149" s="3" t="inlineStr">
        <is>
          <t>A bump stop engaging mid-corner is a sudden stiffness step — a load-transfer jump the controller sees as grip change.</t>
        </is>
      </c>
    </row>
    <row r="150">
      <c r="A150" s="3" t="inlineStr">
        <is>
          <t>Rear bump-stop gap (from static)</t>
        </is>
      </c>
      <c r="B150" s="3" t="inlineStr">
        <is>
          <t>g_bs_r</t>
        </is>
      </c>
      <c r="C150" s="3" t="inlineStr">
        <is>
          <t>suspension.bump_stop_gap_rear</t>
        </is>
      </c>
      <c r="D150" s="3" t="inlineStr">
        <is>
          <t>Same as bump_stop_gap_front, rear.</t>
        </is>
      </c>
      <c r="E150" s="4" t="inlineStr">
        <is>
          <t>0.02</t>
        </is>
      </c>
      <c r="F150" s="3" t="inlineStr">
        <is>
          <t>mm</t>
        </is>
      </c>
      <c r="G150" s="5" t="inlineStr">
        <is>
          <t>PLACEHOLDER — setup sheet</t>
        </is>
      </c>
      <c r="H150" s="3" t="inlineStr">
        <is>
          <t>Rear bump-stop gap</t>
        </is>
      </c>
      <c r="I150" s="3" t="inlineStr">
        <is>
          <t>Setup sheet</t>
        </is>
      </c>
      <c r="J150" s="3" t="inlineStr">
        <is>
          <t>Rear stiffness step.</t>
        </is>
      </c>
    </row>
    <row r="151">
      <c r="A151" s="3" t="inlineStr">
        <is>
          <t>Bump-stop rate (at the wheel)</t>
        </is>
      </c>
      <c r="B151" s="3" t="inlineStr">
        <is>
          <t>k_bs</t>
        </is>
      </c>
      <c r="C151" s="3" t="inlineStr">
        <is>
          <t>suspension.bump_stop_rate</t>
        </is>
      </c>
      <c r="D151" s="3" t="inlineStr">
        <is>
          <t>Linearised stiffness of the bump stop once engaged, referred to the wheel.</t>
        </is>
      </c>
      <c r="E151" s="4" t="inlineStr">
        <is>
          <t>200,000</t>
        </is>
      </c>
      <c r="F151" s="3" t="inlineStr">
        <is>
          <t>N/mm</t>
        </is>
      </c>
      <c r="G151" s="5" t="inlineStr">
        <is>
          <t>PLACEHOLDER — bump-stop spec</t>
        </is>
      </c>
      <c r="H151" s="3" t="inlineStr">
        <is>
          <t>Bump-stop force-deflection curve</t>
        </is>
      </c>
      <c r="I151" s="3" t="inlineStr">
        <is>
          <t>Bump-stop spec sheet / press test</t>
        </is>
      </c>
      <c r="J151" s="3" t="inlineStr">
        <is>
          <t>How hard the stiffness step is.</t>
        </is>
      </c>
    </row>
    <row r="152">
      <c r="A152" s="3" t="inlineStr">
        <is>
          <t>Front static camber</t>
        </is>
      </c>
      <c r="B152" s="3" t="inlineStr">
        <is>
          <t>gamma0_f</t>
        </is>
      </c>
      <c r="C152" s="3" t="inlineStr">
        <is>
          <t>suspension.camber_static_front</t>
        </is>
      </c>
      <c r="D152" s="3" t="inlineStr">
        <is>
          <t>Front wheel camber at static ride height, ISO sign (negative = top of the tire leaning in).</t>
        </is>
      </c>
      <c r="E152" s="4" t="inlineStr">
        <is>
          <t>-0.02618</t>
        </is>
      </c>
      <c r="F152" s="3" t="inlineStr">
        <is>
          <t>deg</t>
        </is>
      </c>
      <c r="G152" s="5" t="inlineStr">
        <is>
          <t>PLACEHOLDER — setup sheet</t>
        </is>
      </c>
      <c r="H152" s="3" t="inlineStr">
        <is>
          <t>Front camber setting</t>
        </is>
      </c>
      <c r="I152" s="3" t="inlineStr">
        <is>
          <t>Camber gauge, setup sheet</t>
        </is>
      </c>
      <c r="J152" s="3" t="inlineStr">
        <is>
          <t>Camber thrust adds lateral force; the tire fit was made at ~0 deg so this is a correction on top.</t>
        </is>
      </c>
    </row>
    <row r="153">
      <c r="A153" s="3" t="inlineStr">
        <is>
          <t>Rear static camber</t>
        </is>
      </c>
      <c r="B153" s="3" t="inlineStr">
        <is>
          <t>gamma0_r</t>
        </is>
      </c>
      <c r="C153" s="3" t="inlineStr">
        <is>
          <t>suspension.camber_static_rear</t>
        </is>
      </c>
      <c r="D153" s="3" t="inlineStr">
        <is>
          <t>Same as camber_static_front, rear.</t>
        </is>
      </c>
      <c r="E153" s="4" t="inlineStr">
        <is>
          <t>-0.01745</t>
        </is>
      </c>
      <c r="F153" s="3" t="inlineStr">
        <is>
          <t>deg</t>
        </is>
      </c>
      <c r="G153" s="5" t="inlineStr">
        <is>
          <t>PLACEHOLDER — setup sheet</t>
        </is>
      </c>
      <c r="H153" s="3" t="inlineStr">
        <is>
          <t>Rear camber setting</t>
        </is>
      </c>
      <c r="I153" s="3" t="inlineStr">
        <is>
          <t>Camber gauge</t>
        </is>
      </c>
      <c r="J153" s="3" t="inlineStr">
        <is>
          <t>Rear camber thrust.</t>
        </is>
      </c>
    </row>
    <row r="154">
      <c r="A154" s="3" t="inlineStr">
        <is>
          <t>Front static toe (per wheel)</t>
        </is>
      </c>
      <c r="B154" s="3" t="inlineStr">
        <is>
          <t>toe_f</t>
        </is>
      </c>
      <c r="C154" s="3" t="inlineStr">
        <is>
          <t>suspension.toe_static_front</t>
        </is>
      </c>
      <c r="D154" s="3" t="inlineStr">
        <is>
          <t>Front toe per wheel, positive = toe-in.</t>
        </is>
      </c>
      <c r="E154" s="4" t="inlineStr">
        <is>
          <t>0</t>
        </is>
      </c>
      <c r="F154" s="3" t="inlineStr">
        <is>
          <t>deg</t>
        </is>
      </c>
      <c r="G154" s="5" t="inlineStr">
        <is>
          <t>PLACEHOLDER — setup sheet</t>
        </is>
      </c>
      <c r="H154" s="3" t="inlineStr">
        <is>
          <t>Front toe setting</t>
        </is>
      </c>
      <c r="I154" s="3" t="inlineStr">
        <is>
          <t>Toe plates / strings</t>
        </is>
      </c>
      <c r="J154" s="3" t="inlineStr">
        <is>
          <t>A standing slip angle on each front wheel.</t>
        </is>
      </c>
    </row>
    <row r="155">
      <c r="A155" s="3" t="inlineStr">
        <is>
          <t>Rear static toe (per wheel)</t>
        </is>
      </c>
      <c r="B155" s="3" t="inlineStr">
        <is>
          <t>toe_r</t>
        </is>
      </c>
      <c r="C155" s="3" t="inlineStr">
        <is>
          <t>suspension.toe_static_rear</t>
        </is>
      </c>
      <c r="D155" s="3" t="inlineStr">
        <is>
          <t>Rear toe per wheel, positive = toe-in.</t>
        </is>
      </c>
      <c r="E155" s="4" t="inlineStr">
        <is>
          <t>0</t>
        </is>
      </c>
      <c r="F155" s="3" t="inlineStr">
        <is>
          <t>deg</t>
        </is>
      </c>
      <c r="G155" s="5" t="inlineStr">
        <is>
          <t>PLACEHOLDER — setup sheet</t>
        </is>
      </c>
      <c r="H155" s="3" t="inlineStr">
        <is>
          <t>Rear toe setting</t>
        </is>
      </c>
      <c r="I155" s="3" t="inlineStr">
        <is>
          <t>Toe plates</t>
        </is>
      </c>
      <c r="J155" s="3" t="inlineStr">
        <is>
          <t>Rear standing slip angle.</t>
        </is>
      </c>
    </row>
    <row r="156">
      <c r="A156" s="3" t="inlineStr">
        <is>
          <t>Front camber gain in bump</t>
        </is>
      </c>
      <c r="B156" s="3" t="inlineStr">
        <is>
          <t>dgamma_ds_f</t>
        </is>
      </c>
      <c r="C156" s="3" t="inlineStr">
        <is>
          <t>suspension.camber_gain_bump_front</t>
        </is>
      </c>
      <c r="D156" s="3" t="inlineStr">
        <is>
          <t>Camber change per mm of front jounce (compression).</t>
        </is>
      </c>
      <c r="E156" s="4" t="inlineStr">
        <is>
          <t>-0.5236</t>
        </is>
      </c>
      <c r="F156" s="3" t="inlineStr">
        <is>
          <t>deg/mm</t>
        </is>
      </c>
      <c r="G156" s="5" t="inlineStr">
        <is>
          <t>PLACEHOLDER — kinematics model</t>
        </is>
      </c>
      <c r="H156" s="3" t="inlineStr">
        <is>
          <t>Front camber-vs-travel curve slope</t>
        </is>
      </c>
      <c r="I156" s="3" t="inlineStr">
        <is>
          <t>Kinematics model</t>
        </is>
      </c>
      <c r="J156" s="3" t="inlineStr">
        <is>
          <t>The outer wheel gains camber as it compresses; the tire's thrust changes with it.</t>
        </is>
      </c>
    </row>
    <row r="157">
      <c r="A157" s="3" t="inlineStr">
        <is>
          <t>Rear camber gain in bump</t>
        </is>
      </c>
      <c r="B157" s="3" t="inlineStr">
        <is>
          <t>dgamma_ds_r</t>
        </is>
      </c>
      <c r="C157" s="3" t="inlineStr">
        <is>
          <t>suspension.camber_gain_bump_rear</t>
        </is>
      </c>
      <c r="D157" s="3" t="inlineStr">
        <is>
          <t>Same as camber_gain_bump_front, rear.</t>
        </is>
      </c>
      <c r="E157" s="4" t="inlineStr">
        <is>
          <t>-0.5236</t>
        </is>
      </c>
      <c r="F157" s="3" t="inlineStr">
        <is>
          <t>deg/mm</t>
        </is>
      </c>
      <c r="G157" s="5" t="inlineStr">
        <is>
          <t>PLACEHOLDER — kinematics model</t>
        </is>
      </c>
      <c r="H157" s="3" t="inlineStr">
        <is>
          <t>Rear camber-vs-travel slope</t>
        </is>
      </c>
      <c r="I157" s="3" t="inlineStr">
        <is>
          <t>Kinematics model</t>
        </is>
      </c>
      <c r="J157" s="3" t="inlineStr">
        <is>
          <t>Rear camber in bump.</t>
        </is>
      </c>
    </row>
    <row r="158">
      <c r="A158" s="3" t="inlineStr">
        <is>
          <t>Front camber gain in roll</t>
        </is>
      </c>
      <c r="B158" s="3" t="inlineStr">
        <is>
          <t>dgamma_dphi_f</t>
        </is>
      </c>
      <c r="C158" s="3" t="inlineStr">
        <is>
          <t>suspension.camber_gain_roll_front</t>
        </is>
      </c>
      <c r="D158" s="3" t="inlineStr">
        <is>
          <t>Wheel camber relative to the ground per degree of body roll (positive = the wheel leans with the body). 1.0 = the wheel rolls fully with the chassis (no camber recovery), 0 = full recovery.</t>
        </is>
      </c>
      <c r="E158" s="4" t="inlineStr">
        <is>
          <t>0.7</t>
        </is>
      </c>
      <c r="F158" s="3" t="inlineStr">
        <is>
          <t>deg/deg</t>
        </is>
      </c>
      <c r="G158" s="5" t="inlineStr">
        <is>
          <t>PLACEHOLDER — typical double wishbone</t>
        </is>
      </c>
      <c r="H158" s="3" t="inlineStr">
        <is>
          <t>Front camber-vs-roll slope</t>
        </is>
      </c>
      <c r="I158" s="3" t="inlineStr">
        <is>
          <t>Kinematics model</t>
        </is>
      </c>
      <c r="J158" s="3" t="inlineStr">
        <is>
          <t>Body roll is the main source of camber loss in a corner.</t>
        </is>
      </c>
    </row>
    <row r="159">
      <c r="A159" s="3" t="inlineStr">
        <is>
          <t>Rear camber gain in roll</t>
        </is>
      </c>
      <c r="B159" s="3" t="inlineStr">
        <is>
          <t>dgamma_dphi_r</t>
        </is>
      </c>
      <c r="C159" s="3" t="inlineStr">
        <is>
          <t>suspension.camber_gain_roll_rear</t>
        </is>
      </c>
      <c r="D159" s="3" t="inlineStr">
        <is>
          <t>Same as camber_gain_roll_front, rear.</t>
        </is>
      </c>
      <c r="E159" s="4" t="inlineStr">
        <is>
          <t>0.7</t>
        </is>
      </c>
      <c r="F159" s="3" t="inlineStr">
        <is>
          <t>deg/deg</t>
        </is>
      </c>
      <c r="G159" s="5" t="inlineStr">
        <is>
          <t>PLACEHOLDER — typical double wishbone</t>
        </is>
      </c>
      <c r="H159" s="3" t="inlineStr">
        <is>
          <t>Rear camber-vs-roll slope</t>
        </is>
      </c>
      <c r="I159" s="3" t="inlineStr">
        <is>
          <t>Kinematics model</t>
        </is>
      </c>
      <c r="J159" s="3" t="inlineStr">
        <is>
          <t>Rear camber loss in roll.</t>
        </is>
      </c>
    </row>
    <row r="160">
      <c r="A160" s="3" t="inlineStr">
        <is>
          <t>Front bump steer</t>
        </is>
      </c>
      <c r="B160" s="3" t="inlineStr">
        <is>
          <t>dtoe_ds_f</t>
        </is>
      </c>
      <c r="C160" s="3" t="inlineStr">
        <is>
          <t>suspension.bump_steer_front</t>
        </is>
      </c>
      <c r="D160" s="3" t="inlineStr">
        <is>
          <t>Front toe change per mm of jounce (positive = toe-in in bump).</t>
        </is>
      </c>
      <c r="E160" s="4" t="inlineStr">
        <is>
          <t>0</t>
        </is>
      </c>
      <c r="F160" s="3" t="inlineStr">
        <is>
          <t>deg/mm</t>
        </is>
      </c>
      <c r="G160" s="5" t="inlineStr">
        <is>
          <t>PLACEHOLDER — kinematics model / bump-steer gauge</t>
        </is>
      </c>
      <c r="H160" s="3" t="inlineStr">
        <is>
          <t>Front bump-steer curve slope</t>
        </is>
      </c>
      <c r="I160" s="3" t="inlineStr">
        <is>
          <t>Kinematics model, or bump-steer gauge</t>
        </is>
      </c>
      <c r="J160" s="3" t="inlineStr">
        <is>
          <t>A steer input the driver did not make, every time the suspension moves.</t>
        </is>
      </c>
    </row>
    <row r="161">
      <c r="A161" s="3" t="inlineStr">
        <is>
          <t>Rear bump steer</t>
        </is>
      </c>
      <c r="B161" s="3" t="inlineStr">
        <is>
          <t>dtoe_ds_r</t>
        </is>
      </c>
      <c r="C161" s="3" t="inlineStr">
        <is>
          <t>suspension.bump_steer_rear</t>
        </is>
      </c>
      <c r="D161" s="3" t="inlineStr">
        <is>
          <t>Same as bump_steer_front, rear.</t>
        </is>
      </c>
      <c r="E161" s="4" t="inlineStr">
        <is>
          <t>0</t>
        </is>
      </c>
      <c r="F161" s="3" t="inlineStr">
        <is>
          <t>deg/mm</t>
        </is>
      </c>
      <c r="G161" s="5" t="inlineStr">
        <is>
          <t>PLACEHOLDER — kinematics model</t>
        </is>
      </c>
      <c r="H161" s="3" t="inlineStr">
        <is>
          <t>Rear bump-steer slope</t>
        </is>
      </c>
      <c r="I161" s="3" t="inlineStr">
        <is>
          <t>Kinematics model</t>
        </is>
      </c>
      <c r="J161" s="3" t="inlineStr">
        <is>
          <t>Rear roll steer.</t>
        </is>
      </c>
    </row>
    <row r="162">
      <c r="A162" s="3" t="inlineStr">
        <is>
          <t>Unsprung CG height</t>
        </is>
      </c>
      <c r="B162" s="3" t="inlineStr">
        <is>
          <t>h_u</t>
        </is>
      </c>
      <c r="C162" s="3" t="inlineStr">
        <is>
          <t>suspension.unsprung_cg_height</t>
        </is>
      </c>
      <c r="D162" s="3" t="inlineStr">
        <is>
          <t>Height of each unsprung mass's CG above ground.</t>
        </is>
      </c>
      <c r="E162" s="4" t="inlineStr">
        <is>
          <t>0.2286</t>
        </is>
      </c>
      <c r="F162" s="3" t="inlineStr">
        <is>
          <t>m</t>
        </is>
      </c>
      <c r="G162" s="3" t="inlineStr">
        <is>
          <t>DERIVED — assumed at wheel-centre height</t>
        </is>
      </c>
      <c r="H162" s="3" t="inlineStr">
        <is>
          <t>Unsprung CG height (CAD)</t>
        </is>
      </c>
      <c r="I162" s="3">
        <f> drivetrain.wheel_radius</f>
        <v/>
      </c>
      <c r="J162" s="3" t="inlineStr">
        <is>
          <t>Separates the sprung-mass CG height (what rolls) from the whole-vehicle h_cg.</t>
        </is>
      </c>
    </row>
    <row r="163">
      <c r="A163" s="2" t="inlineStr">
        <is>
          <t>DAMPERS — digressive curves + Bouc-Wen hysteresis state (full plant)</t>
        </is>
      </c>
    </row>
    <row r="164">
      <c r="A164" s="3" t="inlineStr">
        <is>
          <t>Front bump damping, low speed</t>
        </is>
      </c>
      <c r="B164" s="3" t="inlineStr">
        <is>
          <t>c_bl_f</t>
        </is>
      </c>
      <c r="C164" s="3" t="inlineStr">
        <is>
          <t>dampers.c_bump_low_front</t>
        </is>
      </c>
      <c r="D164" s="3" t="inlineStr">
        <is>
          <t>Front compression damping below the knee velocity, at the wheel.</t>
        </is>
      </c>
      <c r="E164" s="4" t="inlineStr">
        <is>
          <t>1,935</t>
        </is>
      </c>
      <c r="F164" s="3" t="inlineStr">
        <is>
          <t>N*s/m</t>
        </is>
      </c>
      <c r="G164" s="5" t="inlineStr">
        <is>
          <t>PLACEHOLDER — team sheet value, looks computed (~0.7 critical), not dyno</t>
        </is>
      </c>
      <c r="H164" s="3" t="inlineStr">
        <is>
          <t>Front damper dyno curve at the clicks run (bump side, low speed)</t>
        </is>
      </c>
      <c r="I164" s="3" t="inlineStr">
        <is>
          <t>Damper dyno sheet, slope of the bump trace below the knee</t>
        </is>
      </c>
      <c r="J164" s="3" t="inlineStr">
        <is>
          <t>Sets how fast load transfers on turn-in — the transient the s-diff reacts to.</t>
        </is>
      </c>
    </row>
    <row r="165">
      <c r="A165" s="3" t="inlineStr">
        <is>
          <t>Front bump damping, high speed</t>
        </is>
      </c>
      <c r="B165" s="3" t="inlineStr">
        <is>
          <t>c_bh_f</t>
        </is>
      </c>
      <c r="C165" s="3" t="inlineStr">
        <is>
          <t>dampers.c_bump_high_front</t>
        </is>
      </c>
      <c r="D165" s="3" t="inlineStr">
        <is>
          <t>Front compression damping above the knee velocity.</t>
        </is>
      </c>
      <c r="E165" s="4" t="inlineStr">
        <is>
          <t>970</t>
        </is>
      </c>
      <c r="F165" s="3" t="inlineStr">
        <is>
          <t>N*s/m</t>
        </is>
      </c>
      <c r="G165" s="5" t="inlineStr">
        <is>
          <t>PLACEHOLDER — digressive assumption (half the low-speed slope)</t>
        </is>
      </c>
      <c r="H165" s="3" t="inlineStr">
        <is>
          <t>Dyno bump trace, high-speed slope</t>
        </is>
      </c>
      <c r="I165" s="3" t="inlineStr">
        <is>
          <t>Damper dyno sheet</t>
        </is>
      </c>
      <c r="J165" s="3" t="inlineStr">
        <is>
          <t>Kerb / bump response; small effect on smooth-track TV tests.</t>
        </is>
      </c>
    </row>
    <row r="166">
      <c r="A166" s="3" t="inlineStr">
        <is>
          <t>Front rebound damping, low speed</t>
        </is>
      </c>
      <c r="B166" s="3" t="inlineStr">
        <is>
          <t>c_rl_f</t>
        </is>
      </c>
      <c r="C166" s="3" t="inlineStr">
        <is>
          <t>dampers.c_rebound_low_front</t>
        </is>
      </c>
      <c r="D166" s="3" t="inlineStr">
        <is>
          <t>Front extension damping below the knee.</t>
        </is>
      </c>
      <c r="E166" s="4" t="inlineStr">
        <is>
          <t>2,900</t>
        </is>
      </c>
      <c r="F166" s="3" t="inlineStr">
        <is>
          <t>N*s/m</t>
        </is>
      </c>
      <c r="G166" s="5" t="inlineStr">
        <is>
          <t>PLACEHOLDER — typical 1.5 x bump</t>
        </is>
      </c>
      <c r="H166" s="3" t="inlineStr">
        <is>
          <t>Dyno rebound trace, low-speed slope</t>
        </is>
      </c>
      <c r="I166" s="3" t="inlineStr">
        <is>
          <t>Damper dyno sheet</t>
        </is>
      </c>
      <c r="J166" s="3" t="inlineStr">
        <is>
          <t>How fast the inner wheel's load comes back after the corner.</t>
        </is>
      </c>
    </row>
    <row r="167">
      <c r="A167" s="3" t="inlineStr">
        <is>
          <t>Front rebound damping, high speed</t>
        </is>
      </c>
      <c r="B167" s="3" t="inlineStr">
        <is>
          <t>c_rh_f</t>
        </is>
      </c>
      <c r="C167" s="3" t="inlineStr">
        <is>
          <t>dampers.c_rebound_high_front</t>
        </is>
      </c>
      <c r="D167" s="3" t="inlineStr">
        <is>
          <t>Front extension damping above the knee.</t>
        </is>
      </c>
      <c r="E167" s="4" t="inlineStr">
        <is>
          <t>1,450</t>
        </is>
      </c>
      <c r="F167" s="3" t="inlineStr">
        <is>
          <t>N*s/m</t>
        </is>
      </c>
      <c r="G167" s="5" t="inlineStr">
        <is>
          <t>PLACEHOLDER — digressive assumption</t>
        </is>
      </c>
      <c r="H167" s="3" t="inlineStr">
        <is>
          <t>Dyno rebound trace, high-speed slope</t>
        </is>
      </c>
      <c r="I167" s="3" t="inlineStr">
        <is>
          <t>Damper dyno sheet</t>
        </is>
      </c>
      <c r="J167" s="3" t="inlineStr">
        <is>
          <t>Rebound over bumps.</t>
        </is>
      </c>
    </row>
    <row r="168">
      <c r="A168" s="3" t="inlineStr">
        <is>
          <t>Rear bump damping, low speed</t>
        </is>
      </c>
      <c r="B168" s="3" t="inlineStr">
        <is>
          <t>c_bl_r</t>
        </is>
      </c>
      <c r="C168" s="3" t="inlineStr">
        <is>
          <t>dampers.c_bump_low_rear</t>
        </is>
      </c>
      <c r="D168" s="3" t="inlineStr">
        <is>
          <t>Rear compression damping below the knee.</t>
        </is>
      </c>
      <c r="E168" s="4" t="inlineStr">
        <is>
          <t>2,667</t>
        </is>
      </c>
      <c r="F168" s="3" t="inlineStr">
        <is>
          <t>N*s/m</t>
        </is>
      </c>
      <c r="G168" s="5" t="inlineStr">
        <is>
          <t>PLACEHOLDER — team sheet value, looks computed, not dyno</t>
        </is>
      </c>
      <c r="H168" s="3" t="inlineStr">
        <is>
          <t>Rear damper dyno curve, bump low speed</t>
        </is>
      </c>
      <c r="I168" s="3" t="inlineStr">
        <is>
          <t>Damper dyno sheet</t>
        </is>
      </c>
      <c r="J168" s="3" t="inlineStr">
        <is>
          <t>Rear load-transfer speed on corner exit.</t>
        </is>
      </c>
    </row>
    <row r="169">
      <c r="A169" s="3" t="inlineStr">
        <is>
          <t>Rear bump damping, high speed</t>
        </is>
      </c>
      <c r="B169" s="3" t="inlineStr">
        <is>
          <t>c_bh_r</t>
        </is>
      </c>
      <c r="C169" s="3" t="inlineStr">
        <is>
          <t>dampers.c_bump_high_rear</t>
        </is>
      </c>
      <c r="D169" s="3" t="inlineStr">
        <is>
          <t>Rear compression damping above the knee.</t>
        </is>
      </c>
      <c r="E169" s="4" t="inlineStr">
        <is>
          <t>1,330</t>
        </is>
      </c>
      <c r="F169" s="3" t="inlineStr">
        <is>
          <t>N*s/m</t>
        </is>
      </c>
      <c r="G169" s="5" t="inlineStr">
        <is>
          <t>PLACEHOLDER — digressive assumption</t>
        </is>
      </c>
      <c r="H169" s="3" t="inlineStr">
        <is>
          <t>Dyno bump trace, high speed</t>
        </is>
      </c>
      <c r="I169" s="3" t="inlineStr">
        <is>
          <t>Damper dyno sheet</t>
        </is>
      </c>
      <c r="J169" s="3" t="inlineStr">
        <is>
          <t>Rear bump response.</t>
        </is>
      </c>
    </row>
    <row r="170">
      <c r="A170" s="3" t="inlineStr">
        <is>
          <t>Rear rebound damping, low speed</t>
        </is>
      </c>
      <c r="B170" s="3" t="inlineStr">
        <is>
          <t>c_rl_r</t>
        </is>
      </c>
      <c r="C170" s="3" t="inlineStr">
        <is>
          <t>dampers.c_rebound_low_rear</t>
        </is>
      </c>
      <c r="D170" s="3" t="inlineStr">
        <is>
          <t>Rear extension damping below the knee.</t>
        </is>
      </c>
      <c r="E170" s="4" t="inlineStr">
        <is>
          <t>4,000</t>
        </is>
      </c>
      <c r="F170" s="3" t="inlineStr">
        <is>
          <t>N*s/m</t>
        </is>
      </c>
      <c r="G170" s="5" t="inlineStr">
        <is>
          <t>PLACEHOLDER — typical 1.5 x bump</t>
        </is>
      </c>
      <c r="H170" s="3" t="inlineStr">
        <is>
          <t>Dyno rebound trace, low speed</t>
        </is>
      </c>
      <c r="I170" s="3" t="inlineStr">
        <is>
          <t>Damper dyno sheet</t>
        </is>
      </c>
      <c r="J170" s="3" t="inlineStr">
        <is>
          <t>Rear load recovery after a corner.</t>
        </is>
      </c>
    </row>
    <row r="171">
      <c r="A171" s="3" t="inlineStr">
        <is>
          <t>Rear rebound damping, high speed</t>
        </is>
      </c>
      <c r="B171" s="3" t="inlineStr">
        <is>
          <t>c_rh_r</t>
        </is>
      </c>
      <c r="C171" s="3" t="inlineStr">
        <is>
          <t>dampers.c_rebound_high_rear</t>
        </is>
      </c>
      <c r="D171" s="3" t="inlineStr">
        <is>
          <t>Rear extension damping above the knee.</t>
        </is>
      </c>
      <c r="E171" s="4" t="inlineStr">
        <is>
          <t>2,000</t>
        </is>
      </c>
      <c r="F171" s="3" t="inlineStr">
        <is>
          <t>N*s/m</t>
        </is>
      </c>
      <c r="G171" s="5" t="inlineStr">
        <is>
          <t>PLACEHOLDER — digressive assumption</t>
        </is>
      </c>
      <c r="H171" s="3" t="inlineStr">
        <is>
          <t>Dyno rebound trace, high speed</t>
        </is>
      </c>
      <c r="I171" s="3" t="inlineStr">
        <is>
          <t>Damper dyno sheet</t>
        </is>
      </c>
      <c r="J171" s="3" t="inlineStr">
        <is>
          <t>Rear rebound over bumps.</t>
        </is>
      </c>
    </row>
    <row r="172">
      <c r="A172" s="3" t="inlineStr">
        <is>
          <t>Damper knee velocity</t>
        </is>
      </c>
      <c r="B172" s="3" t="inlineStr">
        <is>
          <t>v_knee</t>
        </is>
      </c>
      <c r="C172" s="3" t="inlineStr">
        <is>
          <t>dampers.knee_velocity</t>
        </is>
      </c>
      <c r="D172" s="3" t="inlineStr">
        <is>
          <t>Shaft velocity (at the wheel) where the damping slope changes from low- to high-speed.</t>
        </is>
      </c>
      <c r="E172" s="4" t="inlineStr">
        <is>
          <t>0.05</t>
        </is>
      </c>
      <c r="F172" s="3" t="inlineStr">
        <is>
          <t>m/s</t>
        </is>
      </c>
      <c r="G172" s="5" t="inlineStr">
        <is>
          <t>PLACEHOLDER — typical digressive knee</t>
        </is>
      </c>
      <c r="H172" s="3" t="inlineStr">
        <is>
          <t>Knee from the dyno trace</t>
        </is>
      </c>
      <c r="I172" s="3" t="inlineStr">
        <is>
          <t>Damper dyno sheet</t>
        </is>
      </c>
      <c r="J172" s="3" t="inlineStr">
        <is>
          <t>Body motions in a corner are low-speed; bumps are high-speed. The knee separates them.</t>
        </is>
      </c>
    </row>
    <row r="173">
      <c r="A173" s="3" t="inlineStr">
        <is>
          <t>Damper gas-spring rate</t>
        </is>
      </c>
      <c r="B173" s="3" t="inlineStr">
        <is>
          <t>k0</t>
        </is>
      </c>
      <c r="C173" s="3" t="inlineStr">
        <is>
          <t>dampers.gas_spring_rate</t>
        </is>
      </c>
      <c r="D173" s="3" t="inlineStr">
        <is>
          <t>Spring-like force per metre of stroke from the damper's gas charge, at the wheel.</t>
        </is>
      </c>
      <c r="E173" s="4" t="inlineStr">
        <is>
          <t>1,000</t>
        </is>
      </c>
      <c r="F173" s="3" t="inlineStr">
        <is>
          <t>N/m</t>
        </is>
      </c>
      <c r="G173" s="5" t="inlineStr">
        <is>
          <t>PLACEHOLDER — small gas-pressure term</t>
        </is>
      </c>
      <c r="H173" s="3" t="inlineStr">
        <is>
          <t>Zero-velocity force vs stroke from the dyno</t>
        </is>
      </c>
      <c r="I173" s="3" t="inlineStr">
        <is>
          <t>Damper dyno sheet (force offset vs position)</t>
        </is>
      </c>
      <c r="J173" s="3" t="inlineStr">
        <is>
          <t>Adds a few % to the wheel rate.</t>
        </is>
      </c>
    </row>
    <row r="174">
      <c r="A174" s="3" t="inlineStr">
        <is>
          <t>Bouc-Wen hysteresis gain</t>
        </is>
      </c>
      <c r="B174" s="3" t="inlineStr">
        <is>
          <t>alpha</t>
        </is>
      </c>
      <c r="C174" s="3" t="inlineStr">
        <is>
          <t>dampers.hysteresis_gain</t>
        </is>
      </c>
      <c r="D174" s="3" t="inlineStr">
        <is>
          <t>Force contributed by the hysteresis state z_d (|z_d| &lt;= 1). 0 switches the Bouc-Wen term off.</t>
        </is>
      </c>
      <c r="E174" s="4" t="inlineStr">
        <is>
          <t>0</t>
        </is>
      </c>
      <c r="F174" s="3" t="inlineStr">
        <is>
          <t>N</t>
        </is>
      </c>
      <c r="G174" s="5" t="inlineStr">
        <is>
          <t>PLACEHOLDER — hysteresis OFF until a dyno loop is fitted</t>
        </is>
      </c>
      <c r="H174" s="3" t="inlineStr">
        <is>
          <t>Fit to the damper dyno force-velocity loop (the loop's width)</t>
        </is>
      </c>
      <c r="I174" s="3" t="inlineStr">
        <is>
          <t>Least-squares fit of F_d = c(v)v + k0 s + alpha z to the dyno loop</t>
        </is>
      </c>
      <c r="J174" s="3" t="inlineStr">
        <is>
          <t>The lag between shaft velocity and force — a few % of transient load transfer.</t>
        </is>
      </c>
    </row>
    <row r="175">
      <c r="A175" s="3" t="inlineStr">
        <is>
          <t>Bouc-Wen A</t>
        </is>
      </c>
      <c r="B175" s="3" t="inlineStr">
        <is>
          <t>A</t>
        </is>
      </c>
      <c r="C175" s="3" t="inlineStr">
        <is>
          <t>dampers.bw_A</t>
        </is>
      </c>
      <c r="D175" s="3" t="inlineStr">
        <is>
          <t>Bouc-Wen drive gain in dz/dt = A v - beta |v| |z|^(n-1) z - gamma v |z|^n.</t>
        </is>
      </c>
      <c r="E175" s="4" t="inlineStr">
        <is>
          <t>1</t>
        </is>
      </c>
      <c r="F175" s="3" t="inlineStr">
        <is>
          <t>-</t>
        </is>
      </c>
      <c r="G175" s="5" t="inlineStr">
        <is>
          <t>PLACEHOLDER — unit-amplitude default</t>
        </is>
      </c>
      <c r="H175" s="3" t="inlineStr">
        <is>
          <t>Fit to the dyno loop</t>
        </is>
      </c>
      <c r="I175" s="3" t="inlineStr">
        <is>
          <t>Same fit as hysteresis_gain</t>
        </is>
      </c>
      <c r="J175" s="3" t="inlineStr">
        <is>
          <t>Sets the hysteresis loop's slope.</t>
        </is>
      </c>
    </row>
    <row r="176">
      <c r="A176" s="3" t="inlineStr">
        <is>
          <t>Bouc-Wen beta</t>
        </is>
      </c>
      <c r="B176" s="3" t="inlineStr">
        <is>
          <t>beta</t>
        </is>
      </c>
      <c r="C176" s="3" t="inlineStr">
        <is>
          <t>dampers.bw_beta</t>
        </is>
      </c>
      <c r="D176" s="3" t="inlineStr">
        <is>
          <t>Bouc-Wen shape parameter (symmetric decay).</t>
        </is>
      </c>
      <c r="E176" s="4" t="inlineStr">
        <is>
          <t>0.5</t>
        </is>
      </c>
      <c r="F176" s="3" t="inlineStr">
        <is>
          <t>-</t>
        </is>
      </c>
      <c r="G176" s="5" t="inlineStr">
        <is>
          <t>PLACEHOLDER — (beta + gamma = 1 bounds |z| at 1)</t>
        </is>
      </c>
      <c r="H176" s="3" t="inlineStr">
        <is>
          <t>Fit to the dyno loop</t>
        </is>
      </c>
      <c r="I176" s="3" t="inlineStr">
        <is>
          <t>Same fit</t>
        </is>
      </c>
      <c r="J176" s="3" t="inlineStr">
        <is>
          <t>Loop shape.</t>
        </is>
      </c>
    </row>
    <row r="177">
      <c r="A177" s="3" t="inlineStr">
        <is>
          <t>Bouc-Wen gamma</t>
        </is>
      </c>
      <c r="B177" s="3" t="inlineStr">
        <is>
          <t>gamma</t>
        </is>
      </c>
      <c r="C177" s="3" t="inlineStr">
        <is>
          <t>dampers.bw_gamma</t>
        </is>
      </c>
      <c r="D177" s="3" t="inlineStr">
        <is>
          <t>Bouc-Wen shape parameter (asymmetric decay).</t>
        </is>
      </c>
      <c r="E177" s="4" t="inlineStr">
        <is>
          <t>0.5</t>
        </is>
      </c>
      <c r="F177" s="3" t="inlineStr">
        <is>
          <t>-</t>
        </is>
      </c>
      <c r="G177" s="5" t="inlineStr">
        <is>
          <t>PLACEHOLDER</t>
        </is>
      </c>
      <c r="H177" s="3" t="inlineStr">
        <is>
          <t>Fit to the dyno loop</t>
        </is>
      </c>
      <c r="I177" s="3" t="inlineStr">
        <is>
          <t>Same fit</t>
        </is>
      </c>
      <c r="J177" s="3" t="inlineStr">
        <is>
          <t>Loop shape.</t>
        </is>
      </c>
    </row>
    <row r="178">
      <c r="A178" s="3" t="inlineStr">
        <is>
          <t>Bouc-Wen exponent</t>
        </is>
      </c>
      <c r="B178" s="3" t="inlineStr">
        <is>
          <t>n</t>
        </is>
      </c>
      <c r="C178" s="3" t="inlineStr">
        <is>
          <t>dampers.bw_n</t>
        </is>
      </c>
      <c r="D178" s="3" t="inlineStr">
        <is>
          <t>Bouc-Wen sharpness exponent (higher = sharper transition in the loop).</t>
        </is>
      </c>
      <c r="E178" s="4" t="inlineStr">
        <is>
          <t>1</t>
        </is>
      </c>
      <c r="F178" s="3" t="inlineStr">
        <is>
          <t>-</t>
        </is>
      </c>
      <c r="G178" s="5" t="inlineStr">
        <is>
          <t>PLACEHOLDER — n = 1 gives a smooth loop</t>
        </is>
      </c>
      <c r="H178" s="3" t="inlineStr">
        <is>
          <t>Fit to the dyno loop</t>
        </is>
      </c>
      <c r="I178" s="3" t="inlineStr">
        <is>
          <t>Same fit</t>
        </is>
      </c>
      <c r="J178" s="3" t="inlineStr">
        <is>
          <t>Loop sharpness.</t>
        </is>
      </c>
    </row>
    <row r="179">
      <c r="A179" s="2" t="inlineStr">
        <is>
          <t>TIRES — TTC ROUND 9 FIT (R20 compound, 2026-08-31); surrogate sizes, road µ = belt × 0.67 pending skidpad</t>
        </is>
      </c>
    </row>
    <row r="180">
      <c r="A180" s="3" t="inlineStr">
        <is>
          <t>Belt→road grip scale</t>
        </is>
      </c>
      <c r="B180" s="3" t="inlineStr">
        <is>
          <t>-</t>
        </is>
      </c>
      <c r="C180" s="3" t="inlineStr">
        <is>
          <t>tires.mu_road_scale</t>
        </is>
      </c>
      <c r="D180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180" s="4" t="inlineStr">
        <is>
          <t>0.67</t>
        </is>
      </c>
      <c r="F180" s="3" t="inlineStr">
        <is>
          <t>-</t>
        </is>
      </c>
      <c r="G180" s="5" t="inlineStr">
        <is>
          <t>PLACEHOLDER — skidpad measures this</t>
        </is>
      </c>
      <c r="H180" s="3" t="inlineStr">
        <is>
          <t>Steady-state skidpad lateral g</t>
        </is>
      </c>
      <c r="I180" s="3" t="inlineStr">
        <is>
          <t>Skidpad test vs sim prediction</t>
        </is>
      </c>
      <c r="J180" s="3" t="inlineStr">
        <is>
          <t>Multiplies EVERY grip number — the single biggest absolute-accuracy lever left. VALIDATE on skidpad; that measurement replaces this guess with truth.</t>
        </is>
      </c>
    </row>
    <row r="181">
      <c r="A181" s="3" t="inlineStr">
        <is>
          <t>Belt peak µ, lateral</t>
        </is>
      </c>
      <c r="B181" s="3" t="inlineStr">
        <is>
          <t>mu_belt_y</t>
        </is>
      </c>
      <c r="C181" s="3" t="inlineStr">
        <is>
          <t>tires.belt_mu_lat</t>
        </is>
      </c>
      <c r="D181" s="3" t="inlineStr">
        <is>
          <t>Peak LATERAL friction coefficient as fitted on the Calspan belt.</t>
        </is>
      </c>
      <c r="E181" s="6" t="inlineStr">
        <is>
          <t>2.593</t>
        </is>
      </c>
      <c r="F181" s="3" t="inlineStr">
        <is>
          <t>-</t>
        </is>
      </c>
      <c r="G181" s="7" t="inlineStr">
        <is>
          <t>TTC FIT R9</t>
        </is>
      </c>
      <c r="H181" s="3" t="inlineStr">
        <is>
          <t>-</t>
        </is>
      </c>
      <c r="I181" s="3" t="inlineStr">
        <is>
          <t>tire_fit.py on Round 9 cornering runs (surrogate spread +/-6%)</t>
        </is>
      </c>
      <c r="J181" s="3" t="inlineStr">
        <is>
          <t>Scaled by mu_road_scale to give the road value the sim uses.</t>
        </is>
      </c>
    </row>
    <row r="182">
      <c r="A182" s="3" t="inlineStr">
        <is>
          <t>Belt peak µ, longitudinal</t>
        </is>
      </c>
      <c r="B182" s="3" t="inlineStr">
        <is>
          <t>mu_belt_x</t>
        </is>
      </c>
      <c r="C182" s="3" t="inlineStr">
        <is>
          <t>tires.belt_mu_long</t>
        </is>
      </c>
      <c r="D182" s="3" t="inlineStr">
        <is>
          <t>Peak LONGITUDINAL friction coefficient as fitted on the belt.</t>
        </is>
      </c>
      <c r="E182" s="6" t="inlineStr">
        <is>
          <t>2.359</t>
        </is>
      </c>
      <c r="F182" s="3" t="inlineStr">
        <is>
          <t>-</t>
        </is>
      </c>
      <c r="G182" s="7" t="inlineStr">
        <is>
          <t>TTC FIT R9</t>
        </is>
      </c>
      <c r="H182" s="3" t="inlineStr">
        <is>
          <t>-</t>
        </is>
      </c>
      <c r="I182" s="3" t="inlineStr">
        <is>
          <t>tire_fit.py on Round 9 drive/brake runs</t>
        </is>
      </c>
      <c r="J182" s="3" t="inlineStr">
        <is>
          <t>Scaled by mu_road_scale to give the road value the sim uses.</t>
        </is>
      </c>
    </row>
    <row r="183">
      <c r="A183" s="3" t="inlineStr">
        <is>
          <t>Peak friction coefficient</t>
        </is>
      </c>
      <c r="B183" s="3" t="inlineStr">
        <is>
          <t>mu0</t>
        </is>
      </c>
      <c r="C183" s="3" t="inlineStr">
        <is>
          <t>tires.mu0</t>
        </is>
      </c>
      <c r="D183" s="3" t="inlineStr">
        <is>
          <t>Peak grip per newton of load, at the nominal load (road value).</t>
        </is>
      </c>
      <c r="E183" s="6" t="inlineStr">
        <is>
          <t>1.737</t>
        </is>
      </c>
      <c r="F183" s="3" t="inlineStr">
        <is>
          <t>-</t>
        </is>
      </c>
      <c r="G183" s="7" t="inlineStr">
        <is>
          <t>TTC FIT R9</t>
        </is>
      </c>
      <c r="H183" s="3" t="inlineStr">
        <is>
          <t>Peak mu at several loads</t>
        </is>
      </c>
      <c r="I183" s="3">
        <f> tires.mu_road_scale * tires.belt_mu_lat</f>
        <v/>
      </c>
      <c r="J183" s="3" t="inlineStr">
        <is>
          <t>THE grip number. Max lateral g, spin thresholds, everything — the single most important number in the sim.</t>
        </is>
      </c>
    </row>
    <row r="184">
      <c r="A184" s="3" t="inlineStr">
        <is>
          <t>Peak longitudinal friction</t>
        </is>
      </c>
      <c r="B184" s="3" t="inlineStr">
        <is>
          <t>mu0x</t>
        </is>
      </c>
      <c r="C184" s="3" t="inlineStr">
        <is>
          <t>tires.mu0_long</t>
        </is>
      </c>
      <c r="D184" s="3" t="inlineStr">
        <is>
          <t>Drive/brake grip peak — fitted 9% below lateral; combined slip caps on the friction ELLIPSE in tire.py.</t>
        </is>
      </c>
      <c r="E184" s="6" t="inlineStr">
        <is>
          <t>1.581</t>
        </is>
      </c>
      <c r="F184" s="3" t="inlineStr">
        <is>
          <t>-</t>
        </is>
      </c>
      <c r="G184" s="7" t="inlineStr">
        <is>
          <t>TTC FIT R9</t>
        </is>
      </c>
      <c r="H184" s="3" t="inlineStr">
        <is>
          <t>-</t>
        </is>
      </c>
      <c r="I184" s="3">
        <f> tires.mu_road_scale * tires.belt_mu_long</f>
        <v/>
      </c>
      <c r="J184" s="3" t="inlineStr">
        <is>
          <t>Sets wheelspin threshold and traction capability.</t>
        </is>
      </c>
    </row>
    <row r="185">
      <c r="A185" s="3" t="inlineStr">
        <is>
          <t>Load sensitivity</t>
        </is>
      </c>
      <c r="B185" s="3" t="inlineStr">
        <is>
          <t>s_mu</t>
        </is>
      </c>
      <c r="C185" s="3" t="inlineStr">
        <is>
          <t>tires.s_mu</t>
        </is>
      </c>
      <c r="D185" s="3" t="inlineStr">
        <is>
          <t>Load sensitivity — how much the friction COEFFICIENT drops as vertical load rises: mu = mu0 * (1 - s_mu*(Fz/Fz_nom - 1)). Shared by the lateral and longitudinal peaks.</t>
        </is>
      </c>
      <c r="E185" s="6" t="inlineStr">
        <is>
          <t>0.112</t>
        </is>
      </c>
      <c r="F185" s="3" t="inlineStr">
        <is>
          <t>—/100% load</t>
        </is>
      </c>
      <c r="G185" s="7" t="inlineStr">
        <is>
          <t>TTC FIT R9</t>
        </is>
      </c>
      <c r="H185" s="3" t="inlineStr">
        <is>
          <t>mu at low vs high load</t>
        </is>
      </c>
      <c r="I185" s="3" t="inlineStr">
        <is>
          <t>Same TTC fit</t>
        </is>
      </c>
      <c r="J185" s="3" t="inlineStr">
        <is>
          <t>The reason load transfer costs grip and torque placement matters at all. Zero would make TV pointless.</t>
        </is>
      </c>
    </row>
    <row r="186">
      <c r="A186" s="3" t="inlineStr">
        <is>
          <t>Nominal tire load</t>
        </is>
      </c>
      <c r="B186" s="3" t="inlineStr">
        <is>
          <t>Fz_nom</t>
        </is>
      </c>
      <c r="C186" s="3" t="inlineStr">
        <is>
          <t>tires.Fz_nom</t>
        </is>
      </c>
      <c r="D186" s="3" t="inlineStr">
        <is>
          <t>The "nominal" vertical load at which mu0 is defined (~one static corner weight).</t>
        </is>
      </c>
      <c r="E186" s="4" t="inlineStr">
        <is>
          <t>618.6</t>
        </is>
      </c>
      <c r="F186" s="3" t="inlineStr">
        <is>
          <t>N</t>
        </is>
      </c>
      <c r="G186" s="3" t="inlineStr">
        <is>
          <t>DERIVED (follows the masses automatically)</t>
        </is>
      </c>
      <c r="H186" s="3" t="inlineStr">
        <is>
          <t>-</t>
        </is>
      </c>
      <c r="I186" s="3">
        <f> (mass.car_no_driver + mass.driver) * environment.g / 4.0</f>
        <v/>
      </c>
      <c r="J186" s="3" t="inlineStr">
        <is>
          <t>Reference point for the load-sensitivity line.</t>
        </is>
      </c>
    </row>
    <row r="187">
      <c r="A187" s="3" t="inlineStr">
        <is>
          <t>Front cornering stiffness</t>
        </is>
      </c>
      <c r="B187" s="3" t="inlineStr">
        <is>
          <t>c_alpha_f</t>
        </is>
      </c>
      <c r="C187" s="3" t="inlineStr">
        <is>
          <t>tires.c_alpha_front</t>
        </is>
      </c>
      <c r="D187" s="3" t="inlineStr">
        <is>
          <t>Normalized cornering stiffness of a FRONT tire: lateral force per radian of slip angle, per newton of load (C_alpha = this * Fz).</t>
        </is>
      </c>
      <c r="E187" s="6" t="inlineStr">
        <is>
          <t>37</t>
        </is>
      </c>
      <c r="F187" s="3" t="inlineStr">
        <is>
          <t>1/rad</t>
        </is>
      </c>
      <c r="G187" s="7" t="inlineStr">
        <is>
          <t>TTC FIT R9 (same tire all round)</t>
        </is>
      </c>
      <c r="H187" s="3" t="inlineStr">
        <is>
          <t>Slope of Fy vs slip angle at small angles</t>
        </is>
      </c>
      <c r="I187" s="3" t="inlineStr">
        <is>
          <t>TTC cornering sweep</t>
        </is>
      </c>
      <c r="J187" s="3" t="inlineStr">
        <is>
          <t>Front-axle responsiveness; with rear stiffness sets the understeer gradient K_us the TV reference uses.</t>
        </is>
      </c>
    </row>
    <row r="188">
      <c r="A188" s="3" t="inlineStr">
        <is>
          <t>Rear cornering stiffness</t>
        </is>
      </c>
      <c r="B188" s="3" t="inlineStr">
        <is>
          <t>c_alpha_r</t>
        </is>
      </c>
      <c r="C188" s="3" t="inlineStr">
        <is>
          <t>tires.c_alpha_rear</t>
        </is>
      </c>
      <c r="D188" s="3" t="inlineStr">
        <is>
          <t>Same, for a REAR tire.</t>
        </is>
      </c>
      <c r="E188" s="6" t="inlineStr">
        <is>
          <t>37</t>
        </is>
      </c>
      <c r="F188" s="3" t="inlineStr">
        <is>
          <t>1/rad</t>
        </is>
      </c>
      <c r="G188" s="7" t="inlineStr">
        <is>
          <t>TTC FIT R9 (same tire all round)</t>
        </is>
      </c>
      <c r="H188" s="3" t="inlineStr">
        <is>
          <t>Same, rear</t>
        </is>
      </c>
      <c r="I188" s="3" t="inlineStr">
        <is>
          <t>TTC cornering sweep</t>
        </is>
      </c>
      <c r="J188" s="3" t="inlineStr">
        <is>
          <t>Rear grip slope — stability side of the understeer gradient.</t>
        </is>
      </c>
    </row>
    <row r="189">
      <c r="A189" s="3" t="inlineStr">
        <is>
          <t>Longitudinal slip stiffness</t>
        </is>
      </c>
      <c r="B189" s="3" t="inlineStr">
        <is>
          <t>c_kappa</t>
        </is>
      </c>
      <c r="C189" s="3" t="inlineStr">
        <is>
          <t>tires.c_kappa</t>
        </is>
      </c>
      <c r="D189" s="3" t="inlineStr">
        <is>
          <t>Normalized longitudinal slip stiffness: drive/brake force per unit slip ratio per newton (C_kappa = this * Fz).</t>
        </is>
      </c>
      <c r="E189" s="6" t="inlineStr">
        <is>
          <t>41.9</t>
        </is>
      </c>
      <c r="F189" s="3" t="inlineStr">
        <is>
          <t>1/slip</t>
        </is>
      </c>
      <c r="G189" s="7" t="inlineStr">
        <is>
          <t>TTC FIT R9</t>
        </is>
      </c>
      <c r="H189" s="3" t="inlineStr">
        <is>
          <t>Slope of Fx vs slip ratio</t>
        </is>
      </c>
      <c r="I189" s="3" t="inlineStr">
        <is>
          <t>TTC drive/brake sweep</t>
        </is>
      </c>
      <c r="J189" s="3" t="inlineStr">
        <is>
          <t>Sets wheel-spin dynamics speed — the s-diff's plant. Gains retune if it moves.</t>
        </is>
      </c>
    </row>
    <row r="190">
      <c r="A190" s="3" t="inlineStr">
        <is>
          <t>Lateral shape factor</t>
        </is>
      </c>
      <c r="B190" s="3" t="inlineStr">
        <is>
          <t>C_y</t>
        </is>
      </c>
      <c r="C190" s="3" t="inlineStr">
        <is>
          <t>tires.shape_c_lat</t>
        </is>
      </c>
      <c r="D190" s="3" t="inlineStr">
        <is>
          <t>Magic Formula shape factor — how sharply lateral force peaks.</t>
        </is>
      </c>
      <c r="E190" s="6" t="inlineStr">
        <is>
          <t>1.397</t>
        </is>
      </c>
      <c r="F190" s="3" t="inlineStr">
        <is>
          <t>-</t>
        </is>
      </c>
      <c r="G190" s="7" t="inlineStr">
        <is>
          <t>TTC FIT R9</t>
        </is>
      </c>
      <c r="H190" s="3" t="inlineStr">
        <is>
          <t>Curve shape near/past the peak</t>
        </is>
      </c>
      <c r="I190" s="3" t="inlineStr">
        <is>
          <t>TTC fit</t>
        </is>
      </c>
      <c r="J190" s="3" t="inlineStr">
        <is>
          <t>With E_y, sets where the curve peaks (currently 11.6 deg — real slicks ~6-10 deg) and how it lets go.</t>
        </is>
      </c>
    </row>
    <row r="191">
      <c r="A191" s="3" t="inlineStr">
        <is>
          <t>Lateral curvature factor</t>
        </is>
      </c>
      <c r="B191" s="3" t="inlineStr">
        <is>
          <t>E_y</t>
        </is>
      </c>
      <c r="C191" s="3" t="inlineStr">
        <is>
          <t>tires.curv_e_lat</t>
        </is>
      </c>
      <c r="D191" s="3" t="inlineStr">
        <is>
          <t>Magic Formula curvature factor — fall-off past the lateral peak.</t>
        </is>
      </c>
      <c r="E191" s="6" t="inlineStr">
        <is>
          <t>0.365</t>
        </is>
      </c>
      <c r="F191" s="3" t="inlineStr">
        <is>
          <t>-</t>
        </is>
      </c>
      <c r="G191" s="7" t="inlineStr">
        <is>
          <t>TTC FIT R9</t>
        </is>
      </c>
      <c r="H191" s="3" t="inlineStr">
        <is>
          <t>Post-peak behavior</t>
        </is>
      </c>
      <c r="I191" s="3" t="inlineStr">
        <is>
          <t>TTC fit</t>
        </is>
      </c>
      <c r="J191" s="3" t="inlineStr">
        <is>
          <t>Gentle vs snappy breakaway — currently more forgiving than a real slick.</t>
        </is>
      </c>
    </row>
    <row r="192">
      <c r="A192" s="3" t="inlineStr">
        <is>
          <t>Longitudinal shape factor</t>
        </is>
      </c>
      <c r="B192" s="3" t="inlineStr">
        <is>
          <t>C_x</t>
        </is>
      </c>
      <c r="C192" s="3" t="inlineStr">
        <is>
          <t>tires.shape_c_long</t>
        </is>
      </c>
      <c r="D192" s="3" t="inlineStr">
        <is>
          <t>Same idea, drive/brake direction.</t>
        </is>
      </c>
      <c r="E192" s="6" t="inlineStr">
        <is>
          <t>1.705</t>
        </is>
      </c>
      <c r="F192" s="3" t="inlineStr">
        <is>
          <t>-</t>
        </is>
      </c>
      <c r="G192" s="7" t="inlineStr">
        <is>
          <t>TTC FIT R9</t>
        </is>
      </c>
      <c r="H192" s="3" t="inlineStr">
        <is>
          <t>Curve shape</t>
        </is>
      </c>
      <c r="I192" s="3" t="inlineStr">
        <is>
          <t>TTC fit</t>
        </is>
      </c>
      <c r="J192" s="3" t="inlineStr">
        <is>
          <t>Sets the peak slip ratio (~0.10) — also the replay's red-wheel spin threshold.</t>
        </is>
      </c>
    </row>
    <row r="193">
      <c r="A193" s="3" t="inlineStr">
        <is>
          <t>Longitudinal curvature factor</t>
        </is>
      </c>
      <c r="B193" s="3" t="inlineStr">
        <is>
          <t>E_x</t>
        </is>
      </c>
      <c r="C193" s="3" t="inlineStr">
        <is>
          <t>tires.curv_e_long</t>
        </is>
      </c>
      <c r="D193" s="3" t="inlineStr">
        <is>
          <t>Fall-off past the longitudinal peak.</t>
        </is>
      </c>
      <c r="E193" s="6" t="inlineStr">
        <is>
          <t>0.389</t>
        </is>
      </c>
      <c r="F193" s="3" t="inlineStr">
        <is>
          <t>-</t>
        </is>
      </c>
      <c r="G193" s="7" t="inlineStr">
        <is>
          <t>TTC FIT R9</t>
        </is>
      </c>
      <c r="H193" s="3" t="inlineStr">
        <is>
          <t>Post-peak behavior</t>
        </is>
      </c>
      <c r="I193" s="3" t="inlineStr">
        <is>
          <t>TTC fit</t>
        </is>
      </c>
      <c r="J193" s="3" t="inlineStr">
        <is>
          <t>How violently a spinning wheel loses force — feeds the wheelspin runaway.</t>
        </is>
      </c>
    </row>
    <row r="194">
      <c r="A194" s="3" t="inlineStr">
        <is>
          <t>Tire vertical stiffness</t>
        </is>
      </c>
      <c r="B194" s="3" t="inlineStr">
        <is>
          <t>k_t</t>
        </is>
      </c>
      <c r="C194" s="3" t="inlineStr">
        <is>
          <t>tires.k_vertical</t>
        </is>
      </c>
      <c r="D194" s="3" t="inlineStr">
        <is>
          <t>Vertical spring rate of the carcass at running pressure.</t>
        </is>
      </c>
      <c r="E194" s="4" t="inlineStr">
        <is>
          <t>72,152</t>
        </is>
      </c>
      <c r="F194" s="3" t="inlineStr">
        <is>
          <t>N/m</t>
        </is>
      </c>
      <c r="G194" s="5" t="inlineStr">
        <is>
          <t>PLACEHOLDER — team sheet (which car is unconfirmed)</t>
        </is>
      </c>
      <c r="H194" s="3" t="inlineStr">
        <is>
          <t>Vertical stiffness at the running pressure</t>
        </is>
      </c>
      <c r="I194" s="3" t="inlineStr">
        <is>
          <t>TTC vertical-stiffness runs, or press test</t>
        </is>
      </c>
      <c r="J194" s="3" t="inlineStr">
        <is>
          <t>With the unsprung mass it sets wheel hop (~16 Hz); the tire's vertical force IS Fz.</t>
        </is>
      </c>
    </row>
    <row r="195">
      <c r="A195" s="3" t="inlineStr">
        <is>
          <t>Tire vertical damping</t>
        </is>
      </c>
      <c r="B195" s="3" t="inlineStr">
        <is>
          <t>c_t</t>
        </is>
      </c>
      <c r="C195" s="3" t="inlineStr">
        <is>
          <t>tires.c_vertical</t>
        </is>
      </c>
      <c r="D195" s="3" t="inlineStr">
        <is>
          <t>Damping of the carcass spring.</t>
        </is>
      </c>
      <c r="E195" s="4" t="inlineStr">
        <is>
          <t>50</t>
        </is>
      </c>
      <c r="F195" s="3" t="inlineStr">
        <is>
          <t>N*s/m</t>
        </is>
      </c>
      <c r="G195" s="5" t="inlineStr">
        <is>
          <t>PLACEHOLDER — small; carcass damping</t>
        </is>
      </c>
      <c r="H195" s="3" t="inlineStr">
        <is>
          <t>Drop test decay</t>
        </is>
      </c>
      <c r="I195" s="3" t="inlineStr">
        <is>
          <t>Drop test, or estimate</t>
        </is>
      </c>
      <c r="J195" s="3" t="inlineStr">
        <is>
          <t>Damps wheel hop.</t>
        </is>
      </c>
    </row>
    <row r="196">
      <c r="A196" s="3" t="inlineStr">
        <is>
          <t>Pneumatic trail at zero slip</t>
        </is>
      </c>
      <c r="B196" s="3" t="inlineStr">
        <is>
          <t>t_p0</t>
        </is>
      </c>
      <c r="C196" s="3" t="inlineStr">
        <is>
          <t>tires.pneumatic_trail_0</t>
        </is>
      </c>
      <c r="D196" s="3" t="inlineStr">
        <is>
          <t>Distance behind the contact centre at which the lateral force acts, at small slip angles and nominal load. Scales with Fz/Fz_nom and falls to zero at trail_slip_angle.</t>
        </is>
      </c>
      <c r="E196" s="4" t="inlineStr">
        <is>
          <t>0.02</t>
        </is>
      </c>
      <c r="F196" s="3" t="inlineStr">
        <is>
          <t>m</t>
        </is>
      </c>
      <c r="G196" s="5" t="inlineStr">
        <is>
          <t>PLACEHOLDER — fit tire_fit.py to the TTC Mz channel</t>
        </is>
      </c>
      <c r="H196" s="3" t="inlineStr">
        <is>
          <t>TTC aligning-moment fit</t>
        </is>
      </c>
      <c r="I196" s="3" t="inlineStr">
        <is>
          <t>tire_fit.py on the Round 9 Mz channel (not yet done)</t>
        </is>
      </c>
      <c r="J196" s="3" t="inlineStr">
        <is>
          <t>The aligning moment Mz = -t_p Fy that pulls the steering straight — and the knuckle DOF's main load.</t>
        </is>
      </c>
    </row>
    <row r="197">
      <c r="A197" s="3" t="inlineStr">
        <is>
          <t>Slip angle where the trail vanishes</t>
        </is>
      </c>
      <c r="B197" s="3" t="inlineStr">
        <is>
          <t>alpha_t</t>
        </is>
      </c>
      <c r="C197" s="3" t="inlineStr">
        <is>
          <t>tires.trail_slip_angle</t>
        </is>
      </c>
      <c r="D197" s="3" t="inlineStr">
        <is>
          <t>Slip angle at which the pneumatic trail has fallen to zero (linear decay from t_p0).</t>
        </is>
      </c>
      <c r="E197" s="4" t="inlineStr">
        <is>
          <t>0.1396</t>
        </is>
      </c>
      <c r="F197" s="3" t="inlineStr">
        <is>
          <t>deg</t>
        </is>
      </c>
      <c r="G197" s="5" t="inlineStr">
        <is>
          <t>PLACEHOLDER — TTC Mz fit</t>
        </is>
      </c>
      <c r="H197" s="3" t="inlineStr">
        <is>
          <t>TTC aligning-moment fit</t>
        </is>
      </c>
      <c r="I197" s="3" t="inlineStr">
        <is>
          <t>tire_fit.py on the Mz channel</t>
        </is>
      </c>
      <c r="J197" s="3" t="inlineStr">
        <is>
          <t>Where the steering goes light at the limit.</t>
        </is>
      </c>
    </row>
    <row r="198">
      <c r="A198" s="3" t="inlineStr">
        <is>
          <t>Camber stiffness at nominal load</t>
        </is>
      </c>
      <c r="B198" s="3" t="inlineStr">
        <is>
          <t>C_gamma</t>
        </is>
      </c>
      <c r="C198" s="3" t="inlineStr">
        <is>
          <t>tires.camber_stiffness</t>
        </is>
      </c>
      <c r="D198" s="3" t="inlineStr">
        <is>
          <t>Lateral force per degree of camber at Fz_nom (scales with Fz). Positive = negative camber on a left wheel pushes it left... sign handled per side in the plant.</t>
        </is>
      </c>
      <c r="E198" s="4" t="inlineStr">
        <is>
          <t>458.4</t>
        </is>
      </c>
      <c r="F198" s="3" t="inlineStr">
        <is>
          <t>N/deg</t>
        </is>
      </c>
      <c r="G198" s="5" t="inlineStr">
        <is>
          <t>PLACEHOLDER — TTC camber sweeps</t>
        </is>
      </c>
      <c r="H198" s="3" t="inlineStr">
        <is>
          <t>TTC camber sweep fit</t>
        </is>
      </c>
      <c r="I198" s="3" t="inlineStr">
        <is>
          <t>tire_fit.py on the camber runs</t>
        </is>
      </c>
      <c r="J198" s="3" t="inlineStr">
        <is>
          <t>Camber thrust — a few % of lateral force at the setup camber.</t>
        </is>
      </c>
    </row>
    <row r="199">
      <c r="A199" s="3" t="inlineStr">
        <is>
          <t>Rolling-resistance coefficient</t>
        </is>
      </c>
      <c r="B199" s="3" t="inlineStr">
        <is>
          <t>f_rr</t>
        </is>
      </c>
      <c r="C199" s="3" t="inlineStr">
        <is>
          <t>tires.rolling_resistance</t>
        </is>
      </c>
      <c r="D199" s="3" t="inlineStr">
        <is>
          <t>Rolling-resistance moment per unit load per unit radius: T_rr = f_rr Fz r_w.</t>
        </is>
      </c>
      <c r="E199" s="4" t="inlineStr">
        <is>
          <t>0.015</t>
        </is>
      </c>
      <c r="F199" s="3" t="inlineStr">
        <is>
          <t>-</t>
        </is>
      </c>
      <c r="G199" s="5" t="inlineStr">
        <is>
          <t>PLACEHOLDER — coast-down log</t>
        </is>
      </c>
      <c r="H199" s="3" t="inlineStr">
        <is>
          <t>Coast-down log at low speed (the speed-independent part of the deceleration)</t>
        </is>
      </c>
      <c r="I199" s="3" t="inlineStr">
        <is>
          <t>Coast-down test</t>
        </is>
      </c>
      <c r="J199" s="3" t="inlineStr">
        <is>
          <t>Part of every coast-down and of the hold torque in a corner.</t>
        </is>
      </c>
    </row>
    <row r="200">
      <c r="A200" s="3" t="inlineStr">
        <is>
          <t>Longitudinal relaxation length</t>
        </is>
      </c>
      <c r="B200" s="3" t="inlineStr">
        <is>
          <t>sigma_k</t>
        </is>
      </c>
      <c r="C200" s="3" t="inlineStr">
        <is>
          <t>tires.sigma_kappa</t>
        </is>
      </c>
      <c r="D200" s="3" t="inlineStr">
        <is>
          <t>Distance the tire rolls before its longitudinal force reaches 63% of a step change in slip ratio.</t>
        </is>
      </c>
      <c r="E200" s="4" t="inlineStr">
        <is>
          <t>0.3</t>
        </is>
      </c>
      <c r="F200" s="3" t="inlineStr">
        <is>
          <t>m</t>
        </is>
      </c>
      <c r="G200" s="5" t="inlineStr">
        <is>
          <t>PLACEHOLDER — typical for a 16-18 in FSAE tire</t>
        </is>
      </c>
      <c r="H200" s="3" t="inlineStr">
        <is>
          <t>TTC transient runs, or on-car step test</t>
        </is>
      </c>
      <c r="I200" s="3" t="inlineStr">
        <is>
          <t>tire_fit.py on transient data if Round 9 has it; else estimate</t>
        </is>
      </c>
      <c r="J200" s="3" t="inlineStr">
        <is>
          <t>Low-speed force lag — the reason a slip controller overshoots at corner-exit speeds.</t>
        </is>
      </c>
    </row>
    <row r="201">
      <c r="A201" s="3" t="inlineStr">
        <is>
          <t>Lateral relaxation length</t>
        </is>
      </c>
      <c r="B201" s="3" t="inlineStr">
        <is>
          <t>sigma_a</t>
        </is>
      </c>
      <c r="C201" s="3" t="inlineStr">
        <is>
          <t>tires.sigma_alpha</t>
        </is>
      </c>
      <c r="D201" s="3" t="inlineStr">
        <is>
          <t>Rolling distance to 63% of a step in slip angle.</t>
        </is>
      </c>
      <c r="E201" s="4" t="inlineStr">
        <is>
          <t>0.5</t>
        </is>
      </c>
      <c r="F201" s="3" t="inlineStr">
        <is>
          <t>m</t>
        </is>
      </c>
      <c r="G201" s="5" t="inlineStr">
        <is>
          <t>PLACEHOLDER — typical</t>
        </is>
      </c>
      <c r="H201" s="3" t="inlineStr">
        <is>
          <t>TTC transient runs</t>
        </is>
      </c>
      <c r="I201" s="3" t="inlineStr">
        <is>
          <t>tire_fit.py on transient data; else estimate</t>
        </is>
      </c>
      <c r="J201" s="3" t="inlineStr">
        <is>
          <t>Turn-in lag of the lateral force.</t>
        </is>
      </c>
    </row>
    <row r="202">
      <c r="A202" s="3" t="inlineStr">
        <is>
          <t>Aligning-moment relaxation length</t>
        </is>
      </c>
      <c r="B202" s="3" t="inlineStr">
        <is>
          <t>sigma_m</t>
        </is>
      </c>
      <c r="C202" s="3" t="inlineStr">
        <is>
          <t>tires.sigma_mz</t>
        </is>
      </c>
      <c r="D202" s="3" t="inlineStr">
        <is>
          <t>Rolling distance to 63% of a step in aligning moment.</t>
        </is>
      </c>
      <c r="E202" s="4" t="inlineStr">
        <is>
          <t>0.5</t>
        </is>
      </c>
      <c r="F202" s="3" t="inlineStr">
        <is>
          <t>m</t>
        </is>
      </c>
      <c r="G202" s="5" t="inlineStr">
        <is>
          <t>PLACEHOLDER — assumed = sigma_alpha</t>
        </is>
      </c>
      <c r="H202" s="3" t="inlineStr">
        <is>
          <t>TTC transient runs</t>
        </is>
      </c>
      <c r="I202" s="3" t="inlineStr">
        <is>
          <t>Estimate</t>
        </is>
      </c>
      <c r="J202" s="3" t="inlineStr">
        <is>
          <t>Lag of the steering's self-aligning torque.</t>
        </is>
      </c>
    </row>
    <row r="203">
      <c r="A203" s="2" t="inlineStr">
        <is>
          <t>SENSORS &amp; VCU — the VCU itself</t>
        </is>
      </c>
    </row>
    <row r="204">
      <c r="A204" s="3" t="inlineStr">
        <is>
          <t>VCU loop rate</t>
        </is>
      </c>
      <c r="B204" s="3" t="inlineStr">
        <is>
          <t>-</t>
        </is>
      </c>
      <c r="C204" s="3" t="inlineStr">
        <is>
          <t>sensors.vcu.rate_hz</t>
        </is>
      </c>
      <c r="D204" s="3" t="inlineStr">
        <is>
          <t>VCU control-loop rate — how often sensors are sampled and torque commands are recomputed (physics still integrates at 4 kHz).</t>
        </is>
      </c>
      <c r="E204" s="4" t="inlineStr">
        <is>
          <t>100</t>
        </is>
      </c>
      <c r="F204" s="3" t="inlineStr">
        <is>
          <t>Hz</t>
        </is>
      </c>
      <c r="G204" s="5" t="inlineStr">
        <is>
          <t>PLACEHOLDER — ask software team</t>
        </is>
      </c>
      <c r="H204" s="3" t="inlineStr">
        <is>
          <t>The real VCU loop rate</t>
        </is>
      </c>
      <c r="I204" s="3" t="inlineStr">
        <is>
          <t>Software team</t>
        </is>
      </c>
      <c r="J204" s="3" t="inlineStr">
        <is>
          <t>Gains proven stable at 100 Hz (verify.py section H); make it match reality before quoting controller performance.</t>
        </is>
      </c>
    </row>
    <row r="205">
      <c r="A205" s="3" t="inlineStr">
        <is>
          <t>Plausibility cut threshold</t>
        </is>
      </c>
      <c r="B205" s="3" t="inlineStr">
        <is>
          <t>-</t>
        </is>
      </c>
      <c r="C205" s="3" t="inlineStr">
        <is>
          <t>sensors.vcu.plaus_apps_cut</t>
        </is>
      </c>
      <c r="D205" s="3" t="inlineStr">
        <is>
          <t>APPS percentage above which, while braking, motor power must be cut.</t>
        </is>
      </c>
      <c r="E205" s="4" t="inlineStr">
        <is>
          <t>25</t>
        </is>
      </c>
      <c r="F205" s="3" t="inlineStr">
        <is>
          <t>%</t>
        </is>
      </c>
      <c r="G205" s="3" t="inlineStr">
        <is>
          <t>RULES VALUE (EV.4.7)</t>
        </is>
      </c>
      <c r="H205" s="3" t="inlineStr">
        <is>
          <t>-</t>
        </is>
      </c>
      <c r="I205" s="3" t="inlineStr">
        <is>
          <t>Rulebook (confirm current year)</t>
        </is>
      </c>
      <c r="J205" s="3" t="inlineStr">
        <is>
          <t>Implemented and unit-tested (verify I3); the pedal_check maneuver demonstrates it.</t>
        </is>
      </c>
    </row>
    <row r="206">
      <c r="A206" s="3" t="inlineStr">
        <is>
          <t>Plausibility restore threshold</t>
        </is>
      </c>
      <c r="B206" s="3" t="inlineStr">
        <is>
          <t>-</t>
        </is>
      </c>
      <c r="C206" s="3" t="inlineStr">
        <is>
          <t>sensors.vcu.plaus_apps_restore</t>
        </is>
      </c>
      <c r="D206" s="3" t="inlineStr">
        <is>
          <t>APPS percentage the pedal must fall below before power is restored.</t>
        </is>
      </c>
      <c r="E206" s="4" t="inlineStr">
        <is>
          <t>5</t>
        </is>
      </c>
      <c r="F206" s="3" t="inlineStr">
        <is>
          <t>%</t>
        </is>
      </c>
      <c r="G206" s="3" t="inlineStr">
        <is>
          <t>RULES VALUE (EV.4.7)</t>
        </is>
      </c>
      <c r="H206" s="3" t="inlineStr">
        <is>
          <t>-</t>
        </is>
      </c>
      <c r="I206" s="3" t="inlineStr">
        <is>
          <t>Rulebook (confirm current year)</t>
        </is>
      </c>
      <c r="J206" s="3" t="inlineStr">
        <is>
          <t>The latch that makes the cut a latch and not a flicker.</t>
        </is>
      </c>
    </row>
    <row r="207">
      <c r="A207" s="3" t="inlineStr">
        <is>
          <t>Sensor noise seed</t>
        </is>
      </c>
      <c r="B207" s="3" t="inlineStr">
        <is>
          <t>-</t>
        </is>
      </c>
      <c r="C207" s="3" t="inlineStr">
        <is>
          <t>sensors.vcu.seed</t>
        </is>
      </c>
      <c r="D207" s="3" t="inlineStr">
        <is>
          <t>Seed for the sensor-noise generator — runs are exactly repeatable and all four controller configs see IDENTICAL noise.</t>
        </is>
      </c>
      <c r="E207" s="4" t="inlineStr">
        <is>
          <t>2026</t>
        </is>
      </c>
      <c r="F207" s="3" t="inlineStr">
        <is>
          <t>-</t>
        </is>
      </c>
      <c r="G207" s="3" t="inlineStr">
        <is>
          <t>NUMERICAL GUARD (repeatability)</t>
        </is>
      </c>
      <c r="H207" s="3" t="inlineStr">
        <is>
          <t>-</t>
        </is>
      </c>
      <c r="I207" s="3" t="inlineStr">
        <is>
          <t>-</t>
        </is>
      </c>
      <c r="J207" s="3" t="inlineStr">
        <is>
          <t>Fair comparisons and reproducible runs.</t>
        </is>
      </c>
    </row>
    <row r="208">
      <c r="A208" s="3" t="inlineStr">
        <is>
          <t>vx estimator time constant</t>
        </is>
      </c>
      <c r="B208" s="3" t="inlineStr">
        <is>
          <t>tau_vx</t>
        </is>
      </c>
      <c r="C208" s="3" t="inlineStr">
        <is>
          <t>sensors.vcu.vx_tau</t>
        </is>
      </c>
      <c r="D208" s="3" t="inlineStr">
        <is>
          <t>How fast the wheel-speed measurement pulls the ground-speed estimate.</t>
        </is>
      </c>
      <c r="E208" s="4" t="inlineStr">
        <is>
          <t>0.15</t>
        </is>
      </c>
      <c r="F208" s="3" t="inlineStr">
        <is>
          <t>s</t>
        </is>
      </c>
      <c r="G208" s="3" t="inlineStr">
        <is>
          <t>TUNED (sim)</t>
        </is>
      </c>
      <c r="H208" s="3" t="inlineStr">
        <is>
          <t>-</t>
        </is>
      </c>
      <c r="I208" s="3" t="inlineStr">
        <is>
          <t>Corner exit at high throttle — shortest tau that still rides out a spin event</t>
        </is>
      </c>
      <c r="J208" s="3" t="inlineStr">
        <is>
          <t>Short enough that the estimate cannot drift far on the accelerometer alone, long enough that one quantization LSB of wheel speed does not shake the slip ratios a traction guard reads. Applied as dt/(dt+tau), so the filter behaves identically at the 100 Hz VCU rate and the 4 kHz rate verify I4 uses.</t>
        </is>
      </c>
    </row>
    <row r="209">
      <c r="A209" s="3" t="inlineStr">
        <is>
          <t>Wheel-speed scatter reference</t>
        </is>
      </c>
      <c r="B209" s="3" t="inlineStr">
        <is>
          <t>-</t>
        </is>
      </c>
      <c r="C209" s="3" t="inlineStr">
        <is>
          <t>sensors.vcu.vx_spread_ref</t>
        </is>
      </c>
      <c r="D209" s="3" t="inlineStr">
        <is>
          <t>Spread between fastest and slowest wheel (as ground speed) at which the estimator stops trusting the wheels and coasts on the accelerometer.</t>
        </is>
      </c>
      <c r="E209" s="4" t="inlineStr">
        <is>
          <t>1.5</t>
        </is>
      </c>
      <c r="F209" s="3" t="inlineStr">
        <is>
          <t>m/s</t>
        </is>
      </c>
      <c r="G209" s="3" t="inlineStr">
        <is>
          <t>TUNED (sim)</t>
        </is>
      </c>
      <c r="H209" s="3" t="inlineStr">
        <is>
          <t>-</t>
        </is>
      </c>
      <c r="I209" s="3" t="inlineStr">
        <is>
          <t>Track tests — the largest HONEST spread that corner geometry produces</t>
        </is>
      </c>
      <c r="J209" s="3" t="inlineStr">
        <is>
          <t>With four DRIVEN wheels there is no undriven reference left: under power every wheel over-reads, so min(w)*r_wheel is no longer a lower bound on ground speed. Scatter is the signal that says "some corner is slipping". 1.5 m/s sits above the r*track difference real cornering produces (about 0.6 m/s at 1 rad/s) and below a genuine spin event.</t>
        </is>
      </c>
    </row>
    <row r="210">
      <c r="A210" s="2" t="inlineStr">
        <is>
          <t>SENSORS — APPS, accelerator pedal position</t>
        </is>
      </c>
    </row>
    <row r="211">
      <c r="A211" s="3" t="inlineStr">
        <is>
          <t>APPS quantization</t>
        </is>
      </c>
      <c r="B211" s="3" t="inlineStr">
        <is>
          <t>-</t>
        </is>
      </c>
      <c r="C211" s="3" t="inlineStr">
        <is>
          <t>sensors.throttle_pos.quant_pct</t>
        </is>
      </c>
      <c r="D211" s="3" t="inlineStr">
        <is>
          <t>Accelerator pedal position resolution.</t>
        </is>
      </c>
      <c r="E211" s="4" t="inlineStr">
        <is>
          <t>0.5</t>
        </is>
      </c>
      <c r="F211" s="3" t="inlineStr">
        <is>
          <t>%/LSB</t>
        </is>
      </c>
      <c r="G211" s="5" t="inlineStr">
        <is>
          <t>PLACEHOLDER — sensor spec</t>
        </is>
      </c>
      <c r="H211" s="3" t="inlineStr">
        <is>
          <t>APPS sensor spec</t>
        </is>
      </c>
      <c r="I211" s="3" t="inlineStr">
        <is>
          <t>Datasheet</t>
        </is>
      </c>
      <c r="J211" s="3" t="inlineStr">
        <is>
          <t>Torque request granularity.</t>
        </is>
      </c>
    </row>
    <row r="212">
      <c r="A212" s="2" t="inlineStr">
        <is>
          <t>SENSORS — BPS, brake pressure</t>
        </is>
      </c>
    </row>
    <row r="213">
      <c r="A213" s="3" t="inlineStr">
        <is>
          <t>BPS full range</t>
        </is>
      </c>
      <c r="B213" s="3" t="inlineStr">
        <is>
          <t>-</t>
        </is>
      </c>
      <c r="C213" s="3" t="inlineStr">
        <is>
          <t>sensors.brake_pressure_sens.range_bar</t>
        </is>
      </c>
      <c r="D213" s="3" t="inlineStr">
        <is>
          <t>Brake pressure sensor full range.</t>
        </is>
      </c>
      <c r="E213" s="4" t="inlineStr">
        <is>
          <t>100</t>
        </is>
      </c>
      <c r="F213" s="3" t="inlineStr">
        <is>
          <t>bar</t>
        </is>
      </c>
      <c r="G213" s="5" t="inlineStr">
        <is>
          <t>PLACEHOLDER — sensor spec</t>
        </is>
      </c>
      <c r="H213" s="3" t="inlineStr">
        <is>
          <t>BPS spec + brake system pressures</t>
        </is>
      </c>
      <c r="I213" s="3" t="inlineStr">
        <is>
          <t>Brake team: line pressure at threshold/full braking</t>
        </is>
      </c>
      <c r="J213" s="3" t="inlineStr">
        <is>
          <t>Sets the pressure that maps to full regen.</t>
        </is>
      </c>
    </row>
    <row r="214">
      <c r="A214" s="3" t="inlineStr">
        <is>
          <t>BPS quantization</t>
        </is>
      </c>
      <c r="B214" s="3" t="inlineStr">
        <is>
          <t>-</t>
        </is>
      </c>
      <c r="C214" s="3" t="inlineStr">
        <is>
          <t>sensors.brake_pressure_sens.quant_bar</t>
        </is>
      </c>
      <c r="D214" s="3" t="inlineStr">
        <is>
          <t>Brake pressure sensor resolution.</t>
        </is>
      </c>
      <c r="E214" s="4" t="inlineStr">
        <is>
          <t>0.5</t>
        </is>
      </c>
      <c r="F214" s="3" t="inlineStr">
        <is>
          <t>bar/LSB</t>
        </is>
      </c>
      <c r="G214" s="5" t="inlineStr">
        <is>
          <t>PLACEHOLDER — sensor spec</t>
        </is>
      </c>
      <c r="H214" s="3" t="inlineStr">
        <is>
          <t>BPS spec</t>
        </is>
      </c>
      <c r="I214" s="3" t="inlineStr">
        <is>
          <t>Datasheet</t>
        </is>
      </c>
      <c r="J214" s="3" t="inlineStr">
        <is>
          <t>Regen command granularity.</t>
        </is>
      </c>
    </row>
    <row r="215">
      <c r="A215" s="3" t="inlineStr">
        <is>
          <t>BPS actuated threshold</t>
        </is>
      </c>
      <c r="B215" s="3" t="inlineStr">
        <is>
          <t>-</t>
        </is>
      </c>
      <c r="C215" s="3" t="inlineStr">
        <is>
          <t>sensors.brake_pressure_sens.actuated_bar</t>
        </is>
      </c>
      <c r="D215" s="3" t="inlineStr">
        <is>
          <t>Pressure above which the brake counts as "actuated" for the rules check.</t>
        </is>
      </c>
      <c r="E215" s="4" t="inlineStr">
        <is>
          <t>3</t>
        </is>
      </c>
      <c r="F215" s="3" t="inlineStr">
        <is>
          <t>bar</t>
        </is>
      </c>
      <c r="G215" s="5" t="inlineStr">
        <is>
          <t>PLACEHOLDER — calibration choice</t>
        </is>
      </c>
      <c r="H215" s="3" t="inlineStr">
        <is>
          <t>Brake system pressures</t>
        </is>
      </c>
      <c r="I215" s="3" t="inlineStr">
        <is>
          <t>Brake team: line pressure at threshold braking</t>
        </is>
      </c>
      <c r="J215" s="3" t="inlineStr">
        <is>
          <t>Defines "braking" for the EV.4.7 plausibility check.</t>
        </is>
      </c>
    </row>
    <row r="216">
      <c r="A216" s="3" t="inlineStr">
        <is>
          <t>Max regen torque</t>
        </is>
      </c>
      <c r="B216" s="3" t="inlineStr">
        <is>
          <t>-</t>
        </is>
      </c>
      <c r="C216" s="3" t="inlineStr">
        <is>
          <t>sensors.brake_pressure_sens.t_regen_max</t>
        </is>
      </c>
      <c r="D216" s="3" t="inlineStr">
        <is>
          <t>Total REGEN torque at full brake pressure, across ALL driven wheels.</t>
        </is>
      </c>
      <c r="E216" s="4" t="inlineStr">
        <is>
          <t>250</t>
        </is>
      </c>
      <c r="F216" s="3" t="inlineStr">
        <is>
          <t>N*m</t>
        </is>
      </c>
      <c r="G216" s="5" t="inlineStr">
        <is>
          <t>PLACEHOLDER — battery charge limit sets this</t>
        </is>
      </c>
      <c r="H216" s="3" t="inlineStr">
        <is>
          <t>Allowed charge current -&gt; torque</t>
        </is>
      </c>
      <c r="I216" s="3" t="inlineStr">
        <is>
          <t>Accumulator team: max charge C-rate</t>
        </is>
      </c>
      <c r="J216" s="3" t="inlineStr">
        <is>
          <t>Caps how much "braking" the sim's BPS can command.</t>
        </is>
      </c>
    </row>
    <row r="217">
      <c r="A217" s="2" t="inlineStr">
        <is>
          <t>SENSORS — WSS, motor resolver over CAN</t>
        </is>
      </c>
    </row>
    <row r="218">
      <c r="A218" s="3" t="inlineStr">
        <is>
          <t>WSS quantization</t>
        </is>
      </c>
      <c r="B218" s="3" t="inlineStr">
        <is>
          <t>-</t>
        </is>
      </c>
      <c r="C218" s="3" t="inlineStr">
        <is>
          <t>sensors.wheel_speed.quant_rpm</t>
        </is>
      </c>
      <c r="D218" s="3" t="inlineStr">
        <is>
          <t>Motor-speed resolution over CAN (motor side, before the planetary divide).</t>
        </is>
      </c>
      <c r="E218" s="4" t="inlineStr">
        <is>
          <t>1</t>
        </is>
      </c>
      <c r="F218" s="3" t="inlineStr">
        <is>
          <t>rpm/LSB</t>
        </is>
      </c>
      <c r="G218" s="5" t="inlineStr">
        <is>
          <t>PLACEHOLDER — AMK CAN resolution</t>
        </is>
      </c>
      <c r="H218" s="3" t="inlineStr">
        <is>
          <t>AMK CAN speed resolution</t>
        </is>
      </c>
      <c r="I218" s="3" t="inlineStr">
        <is>
          <t>AMK CAN spec</t>
        </is>
      </c>
      <c r="J218" s="3" t="inlineStr">
        <is>
          <t>1 motor rpm is about 1.8 mm/s of ground speed — the resolver-over-CAN path is effectively noise-free wheel speed.</t>
        </is>
      </c>
    </row>
    <row r="219">
      <c r="A219" s="2" t="inlineStr">
        <is>
          <t>SENSORS — SAS, steering angle, and the steering map</t>
        </is>
      </c>
    </row>
    <row r="220">
      <c r="A220" s="3" t="inlineStr">
        <is>
          <t>Steering map A0 (intercept)</t>
        </is>
      </c>
      <c r="B220" s="3" t="inlineStr">
        <is>
          <t>A0</t>
        </is>
      </c>
      <c r="C220" s="3" t="inlineStr">
        <is>
          <t>sensors.steering_angle.map_a0</t>
        </is>
      </c>
      <c r="D220" s="3" t="inlineStr">
        <is>
          <t>Constant term of the handwheel -&gt; road-wheel polynomial.</t>
        </is>
      </c>
      <c r="E220" s="6" t="inlineStr">
        <is>
          <t>-0.0797</t>
        </is>
      </c>
      <c r="F220" s="3" t="inlineStr">
        <is>
          <t>deg (intercept)</t>
        </is>
      </c>
      <c r="G220" s="7" t="inlineStr">
        <is>
          <t>CURRENT CAR (team chart)</t>
        </is>
      </c>
      <c r="H220" s="3" t="inlineStr">
        <is>
          <t>The steering curve including RWheel</t>
        </is>
      </c>
      <c r="I220" s="3" t="inlineStr">
        <is>
          <t>Steering chart / kinematics sweep</t>
        </is>
      </c>
      <c r="J220" s="3" t="inlineStr">
        <is>
          <t>Subtracted out to center the map; kept so the raw fit stays visible.</t>
        </is>
      </c>
    </row>
    <row r="221">
      <c r="A221" s="3" t="inlineStr">
        <is>
          <t>Steering map A1 (linear)</t>
        </is>
      </c>
      <c r="B221" s="3" t="inlineStr">
        <is>
          <t>A1</t>
        </is>
      </c>
      <c r="C221" s="3" t="inlineStr">
        <is>
          <t>sensors.steering_angle.map_a1</t>
        </is>
      </c>
      <c r="D221" s="3" t="inlineStr">
        <is>
          <t>Linear term — the near-center steering ratio.</t>
        </is>
      </c>
      <c r="E221" s="6" t="inlineStr">
        <is>
          <t>0.31</t>
        </is>
      </c>
      <c r="F221" s="3" t="inlineStr">
        <is>
          <t>deg/deg</t>
        </is>
      </c>
      <c r="G221" s="7" t="inlineStr">
        <is>
          <t>CURRENT CAR (team chart)</t>
        </is>
      </c>
      <c r="H221" s="3" t="inlineStr">
        <is>
          <t>The steering curve including RWheel</t>
        </is>
      </c>
      <c r="I221" s="3" t="inlineStr">
        <is>
          <t>Steering chart / kinematics sweep</t>
        </is>
      </c>
      <c r="J221" s="3" t="inlineStr">
        <is>
          <t>How the VCU turns the SAS reading into a road-wheel angle.</t>
        </is>
      </c>
    </row>
    <row r="222">
      <c r="A222" s="3" t="inlineStr">
        <is>
          <t>Steering map A2 (quadratic)</t>
        </is>
      </c>
      <c r="B222" s="3" t="inlineStr">
        <is>
          <t>A2</t>
        </is>
      </c>
      <c r="C222" s="3" t="inlineStr">
        <is>
          <t>sensors.steering_angle.map_a2</t>
        </is>
      </c>
      <c r="D222" s="3" t="inlineStr">
        <is>
          <t>Quadratic term — the ratio falling off toward lock.</t>
        </is>
      </c>
      <c r="E222" s="6" t="inlineStr">
        <is>
          <t>-0.000844</t>
        </is>
      </c>
      <c r="F222" s="3" t="inlineStr">
        <is>
          <t>deg/deg^2</t>
        </is>
      </c>
      <c r="G222" s="7" t="inlineStr">
        <is>
          <t>CURRENT CAR (team chart; -844E-04 read as -8.44E-04)</t>
        </is>
      </c>
      <c r="H222" s="3" t="inlineStr">
        <is>
          <t>The steering curve including RWheel</t>
        </is>
      </c>
      <c r="I222" s="3" t="inlineStr">
        <is>
          <t>Steering chart / kinematics sweep</t>
        </is>
      </c>
      <c r="J222" s="3" t="inlineStr">
        <is>
          <t>Full lock 23 deg is about 103 deg of handwheel.</t>
        </is>
      </c>
    </row>
    <row r="223">
      <c r="A223" s="3" t="inlineStr">
        <is>
          <t>SAS quantization</t>
        </is>
      </c>
      <c r="B223" s="3" t="inlineStr">
        <is>
          <t>-</t>
        </is>
      </c>
      <c r="C223" s="3" t="inlineStr">
        <is>
          <t>sensors.steering_angle.quant_deg</t>
        </is>
      </c>
      <c r="D223" s="3" t="inlineStr">
        <is>
          <t>Steering-angle sensor resolution, at the handwheel.</t>
        </is>
      </c>
      <c r="E223" s="4" t="inlineStr">
        <is>
          <t>0.5</t>
        </is>
      </c>
      <c r="F223" s="3" t="inlineStr">
        <is>
          <t>deg/LSB</t>
        </is>
      </c>
      <c r="G223" s="5" t="inlineStr">
        <is>
          <t>PLACEHOLDER — sensor spec</t>
        </is>
      </c>
      <c r="H223" s="3" t="inlineStr">
        <is>
          <t>Sensor spec</t>
        </is>
      </c>
      <c r="I223" s="3" t="inlineStr">
        <is>
          <t>Datasheet of the chosen SAS</t>
        </is>
      </c>
      <c r="J223" s="3" t="inlineStr">
        <is>
          <t>Steering resolution the VCU actually sees.</t>
        </is>
      </c>
    </row>
    <row r="224">
      <c r="A224" s="2" t="inlineStr">
        <is>
          <t>SENSORS — IMU, yaw gyro and accelerometers</t>
        </is>
      </c>
    </row>
    <row r="225">
      <c r="A225" s="3" t="inlineStr">
        <is>
          <t>IMU gyro noise (1σ)</t>
        </is>
      </c>
      <c r="B225" s="3" t="inlineStr">
        <is>
          <t>sigma_g</t>
        </is>
      </c>
      <c r="C225" s="3" t="inlineStr">
        <is>
          <t>sensors.imu_6axis.gyro_noise_std</t>
        </is>
      </c>
      <c r="D225" s="3" t="inlineStr">
        <is>
          <t>Yaw-gyro 1-sigma noise.</t>
        </is>
      </c>
      <c r="E225" s="4" t="inlineStr">
        <is>
          <t>0.005236</t>
        </is>
      </c>
      <c r="F225" s="3" t="inlineStr">
        <is>
          <t>rad/s (entered as deg/s, 1 sigma)</t>
        </is>
      </c>
      <c r="G225" s="5" t="inlineStr">
        <is>
          <t>PLACEHOLDER — IMU spec</t>
        </is>
      </c>
      <c r="H225" s="3" t="inlineStr">
        <is>
          <t>IMU datasheet numbers</t>
        </is>
      </c>
      <c r="I225" s="3" t="inlineStr">
        <is>
          <t>Chosen IMU's spec sheet</t>
        </is>
      </c>
      <c r="J225" s="3" t="inlineStr">
        <is>
          <t>Goes straight into the TV feedback — sets how clean the yaw control can be.</t>
        </is>
      </c>
    </row>
    <row r="226">
      <c r="A226" s="3" t="inlineStr">
        <is>
          <t>IMU gyro bias</t>
        </is>
      </c>
      <c r="B226" s="3" t="inlineStr">
        <is>
          <t>b_g</t>
        </is>
      </c>
      <c r="C226" s="3" t="inlineStr">
        <is>
          <t>sensors.imu_6axis.gyro_bias</t>
        </is>
      </c>
      <c r="D226" s="3" t="inlineStr">
        <is>
          <t>Constant yaw-gyro zero offset.</t>
        </is>
      </c>
      <c r="E226" s="4" t="inlineStr">
        <is>
          <t>0.001745</t>
        </is>
      </c>
      <c r="F226" s="3" t="inlineStr">
        <is>
          <t>rad/s (entered as deg/s)</t>
        </is>
      </c>
      <c r="G226" s="5" t="inlineStr">
        <is>
          <t>PLACEHOLDER — uncalibrated bias</t>
        </is>
      </c>
      <c r="H226" s="3" t="inlineStr">
        <is>
          <t>IMU datasheet numbers</t>
        </is>
      </c>
      <c r="I226" s="3" t="inlineStr">
        <is>
          <t>Chosen IMU's spec sheet, then a stationary calibration on the car</t>
        </is>
      </c>
      <c r="J226" s="3" t="inlineStr">
        <is>
          <t>Biases the yaw-rate error the TV controller integrates.</t>
        </is>
      </c>
    </row>
    <row r="227">
      <c r="A227" s="3" t="inlineStr">
        <is>
          <t>VCU gyro low-pass</t>
        </is>
      </c>
      <c r="B227" s="3" t="inlineStr">
        <is>
          <t>f_c</t>
        </is>
      </c>
      <c r="C227" s="3" t="inlineStr">
        <is>
          <t>sensors.imu_6axis.lpf_hz</t>
        </is>
      </c>
      <c r="D227" s="3" t="inlineStr">
        <is>
          <t>First-order low-pass the VCU applies to the gyro before feedback.</t>
        </is>
      </c>
      <c r="E227" s="4" t="inlineStr">
        <is>
          <t>20</t>
        </is>
      </c>
      <c r="F227" s="3" t="inlineStr">
        <is>
          <t>Hz</t>
        </is>
      </c>
      <c r="G227" s="5" t="inlineStr">
        <is>
          <t>PLACEHOLDER — VCU filter choice</t>
        </is>
      </c>
      <c r="H227" s="3" t="inlineStr">
        <is>
          <t>-</t>
        </is>
      </c>
      <c r="I227" s="3" t="inlineStr">
        <is>
          <t>Software choice; tune against noise</t>
        </is>
      </c>
      <c r="J227" s="3" t="inlineStr">
        <is>
          <t>Trade: more filtering = less dither but more phase lag in the yaw loop.</t>
        </is>
      </c>
    </row>
    <row r="228">
      <c r="A228" s="3" t="inlineStr">
        <is>
          <t>IMU accel noise</t>
        </is>
      </c>
      <c r="B228" s="3" t="inlineStr">
        <is>
          <t>sigma_a</t>
        </is>
      </c>
      <c r="C228" s="3" t="inlineStr">
        <is>
          <t>sensors.imu_6axis.accel_noise_std</t>
        </is>
      </c>
      <c r="D228" s="3" t="inlineStr">
        <is>
          <t>Accelerometer 1-sigma noise (ax, ay channels).</t>
        </is>
      </c>
      <c r="E228" s="4" t="inlineStr">
        <is>
          <t>0.05</t>
        </is>
      </c>
      <c r="F228" s="3" t="inlineStr">
        <is>
          <t>m/s^2</t>
        </is>
      </c>
      <c r="G228" s="5" t="inlineStr">
        <is>
          <t>PLACEHOLDER — IMU spec</t>
        </is>
      </c>
      <c r="H228" s="3" t="inlineStr">
        <is>
          <t>IMU datasheet</t>
        </is>
      </c>
      <c r="I228" s="3" t="inlineStr">
        <is>
          <t>Spec sheet</t>
        </is>
      </c>
      <c r="J228" s="3" t="inlineStr">
        <is>
          <t>Feeds future estimation (vx observer, validation logging).</t>
        </is>
      </c>
    </row>
    <row r="229">
      <c r="A229" s="3" t="inlineStr">
        <is>
          <t>Accelerometer bias random walk</t>
        </is>
      </c>
      <c r="B229" s="3" t="inlineStr">
        <is>
          <t>q_ax</t>
        </is>
      </c>
      <c r="C229" s="3" t="inlineStr">
        <is>
          <t>sensors.imu_6axis.accel_bias_walk</t>
        </is>
      </c>
      <c r="D229" s="3" t="inlineStr">
        <is>
          <t>Strength of the slowly wandering longitudinal-accelerometer bias (one of the 80 plant states).</t>
        </is>
      </c>
      <c r="E229" s="4" t="inlineStr">
        <is>
          <t>0.001</t>
        </is>
      </c>
      <c r="F229" s="3" t="inlineStr">
        <is>
          <t>m/s^2/sqrt(s)</t>
        </is>
      </c>
      <c r="G229" s="5" t="inlineStr">
        <is>
          <t>PLACEHOLDER — "super accurate" assumption</t>
        </is>
      </c>
      <c r="H229" s="3" t="inlineStr">
        <is>
          <t>Allan deviation from a static log</t>
        </is>
      </c>
      <c r="I229" s="3" t="inlineStr">
        <is>
          <t>Static log of the IMU for ~10 minutes</t>
        </is>
      </c>
      <c r="J229" s="3" t="inlineStr">
        <is>
          <t>The bias the EKF estimates; integrates into speed-estimate drift.</t>
        </is>
      </c>
    </row>
    <row r="230">
      <c r="A230" s="3" t="inlineStr">
        <is>
          <t>IMU x (from CG)</t>
        </is>
      </c>
      <c r="B230" s="3" t="inlineStr">
        <is>
          <t>x_imu</t>
        </is>
      </c>
      <c r="C230" s="3" t="inlineStr">
        <is>
          <t>sensors.imu_6axis.pos_x</t>
        </is>
      </c>
      <c r="D230" s="3" t="inlineStr">
        <is>
          <t>IMU position relative to the CG, positive forward. The accelerometer measures the specific force AT the IMU, not at the CG.</t>
        </is>
      </c>
      <c r="E230" s="4" t="inlineStr">
        <is>
          <t>0</t>
        </is>
      </c>
      <c r="F230" s="3" t="inlineStr">
        <is>
          <t>m</t>
        </is>
      </c>
      <c r="G230" s="5" t="inlineStr">
        <is>
          <t>PLACEHOLDER — CAD</t>
        </is>
      </c>
      <c r="H230" s="3" t="inlineStr">
        <is>
          <t>IMU mounting position</t>
        </is>
      </c>
      <c r="I230" s="3" t="inlineStr">
        <is>
          <t>CAD</t>
        </is>
      </c>
      <c r="J230" s="3" t="inlineStr">
        <is>
          <t>An IMU ahead of the CG reads yaw acceleration as lateral acceleration.</t>
        </is>
      </c>
    </row>
    <row r="231">
      <c r="A231" s="3" t="inlineStr">
        <is>
          <t>IMU y (from CG)</t>
        </is>
      </c>
      <c r="B231" s="3" t="inlineStr">
        <is>
          <t>y_imu</t>
        </is>
      </c>
      <c r="C231" s="3" t="inlineStr">
        <is>
          <t>sensors.imu_6axis.pos_y</t>
        </is>
      </c>
      <c r="D231" s="3" t="inlineStr">
        <is>
          <t>IMU position relative to the CG, positive left.</t>
        </is>
      </c>
      <c r="E231" s="4" t="inlineStr">
        <is>
          <t>0</t>
        </is>
      </c>
      <c r="F231" s="3" t="inlineStr">
        <is>
          <t>m</t>
        </is>
      </c>
      <c r="G231" s="5" t="inlineStr">
        <is>
          <t>PLACEHOLDER — CAD</t>
        </is>
      </c>
      <c r="H231" s="3" t="inlineStr">
        <is>
          <t>IMU mounting position</t>
        </is>
      </c>
      <c r="I231" s="3" t="inlineStr">
        <is>
          <t>CAD</t>
        </is>
      </c>
      <c r="J231" s="3" t="inlineStr">
        <is>
          <t>Off-centre: yaw acceleration appears as longitudinal acceleration.</t>
        </is>
      </c>
    </row>
    <row r="232">
      <c r="A232" s="3" t="inlineStr">
        <is>
          <t>IMU z (from CG)</t>
        </is>
      </c>
      <c r="B232" s="3" t="inlineStr">
        <is>
          <t>z_imu</t>
        </is>
      </c>
      <c r="C232" s="3" t="inlineStr">
        <is>
          <t>sensors.imu_6axis.pos_z</t>
        </is>
      </c>
      <c r="D232" s="3" t="inlineStr">
        <is>
          <t>IMU height relative to the CG, positive up.</t>
        </is>
      </c>
      <c r="E232" s="4" t="inlineStr">
        <is>
          <t>0.1</t>
        </is>
      </c>
      <c r="F232" s="3" t="inlineStr">
        <is>
          <t>m</t>
        </is>
      </c>
      <c r="G232" s="5" t="inlineStr">
        <is>
          <t>PLACEHOLDER — CAD</t>
        </is>
      </c>
      <c r="H232" s="3" t="inlineStr">
        <is>
          <t>IMU mounting position</t>
        </is>
      </c>
      <c r="I232" s="3" t="inlineStr">
        <is>
          <t>CAD</t>
        </is>
      </c>
      <c r="J232" s="3" t="inlineStr">
        <is>
          <t>Above the CG the IMU reads roll acceleration as lateral acceleration.</t>
        </is>
      </c>
    </row>
    <row r="233">
      <c r="A233" s="2" t="inlineStr">
        <is>
          <t>SENSORS — GPS ground speed (two receivers)</t>
        </is>
      </c>
    </row>
    <row r="234">
      <c r="A234" s="3" t="inlineStr">
        <is>
          <t>GPS update rate</t>
        </is>
      </c>
      <c r="B234" s="3" t="inlineStr">
        <is>
          <t>f_gps</t>
        </is>
      </c>
      <c r="C234" s="3" t="inlineStr">
        <is>
          <t>sensors.gps.rate_hz</t>
        </is>
      </c>
      <c r="D234" s="3" t="inlineStr">
        <is>
          <t>How often each receiver produces a new speed.</t>
        </is>
      </c>
      <c r="E234" s="4" t="inlineStr">
        <is>
          <t>20</t>
        </is>
      </c>
      <c r="F234" s="3" t="inlineStr">
        <is>
          <t>Hz</t>
        </is>
      </c>
      <c r="G234" s="5" t="inlineStr">
        <is>
          <t>PLACEHOLDER — receiver datasheet</t>
        </is>
      </c>
      <c r="H234" s="3" t="inlineStr">
        <is>
          <t>Receiver datasheet / configured rate</t>
        </is>
      </c>
      <c r="I234" s="3" t="inlineStr">
        <is>
          <t>Datasheet</t>
        </is>
      </c>
      <c r="J234" s="3" t="inlineStr">
        <is>
          <t>Held between updates; sets how stale the speed the VCU holds can be.</t>
        </is>
      </c>
    </row>
    <row r="235">
      <c r="A235" s="3" t="inlineStr">
        <is>
          <t>GPS latency</t>
        </is>
      </c>
      <c r="B235" s="3" t="inlineStr">
        <is>
          <t>t_gps</t>
        </is>
      </c>
      <c r="C235" s="3" t="inlineStr">
        <is>
          <t>sensors.gps.latency</t>
        </is>
      </c>
      <c r="D235" s="3" t="inlineStr">
        <is>
          <t>Delay between the true speed and the reported one.</t>
        </is>
      </c>
      <c r="E235" s="4" t="inlineStr">
        <is>
          <t>0.05</t>
        </is>
      </c>
      <c r="F235" s="3" t="inlineStr">
        <is>
          <t>ms</t>
        </is>
      </c>
      <c r="G235" s="5" t="inlineStr">
        <is>
          <t>PLACEHOLDER — receiver datasheet</t>
        </is>
      </c>
      <c r="H235" s="3" t="inlineStr">
        <is>
          <t>Datasheet latency</t>
        </is>
      </c>
      <c r="I235" s="3" t="inlineStr">
        <is>
          <t>Datasheet, or compare against wheel speed on a step</t>
        </is>
      </c>
      <c r="J235" s="3" t="inlineStr">
        <is>
          <t>A late speed in a fast corner-exit is a wrong speed.</t>
        </is>
      </c>
    </row>
    <row r="236">
      <c r="A236" s="3" t="inlineStr">
        <is>
          <t>GPS speed noise (1 sigma)</t>
        </is>
      </c>
      <c r="B236" s="3" t="inlineStr">
        <is>
          <t>sigma_gps</t>
        </is>
      </c>
      <c r="C236" s="3" t="inlineStr">
        <is>
          <t>sensors.gps.speed_noise_std</t>
        </is>
      </c>
      <c r="D236" s="3" t="inlineStr">
        <is>
          <t>White noise on each reported speed.</t>
        </is>
      </c>
      <c r="E236" s="4" t="inlineStr">
        <is>
          <t>0.05</t>
        </is>
      </c>
      <c r="F236" s="3" t="inlineStr">
        <is>
          <t>m/s</t>
        </is>
      </c>
      <c r="G236" s="5" t="inlineStr">
        <is>
          <t>PLACEHOLDER — "super accurate" assumption</t>
        </is>
      </c>
      <c r="H236" s="3" t="inlineStr">
        <is>
          <t>Static log of the receiver</t>
        </is>
      </c>
      <c r="I236" s="3" t="inlineStr">
        <is>
          <t>Park the car, log speed for a minute, take the standard deviation</t>
        </is>
      </c>
      <c r="J236" s="3" t="inlineStr">
        <is>
          <t>Noise on any slip ratio computed from it.</t>
        </is>
      </c>
    </row>
    <row r="237">
      <c r="A237" s="3" t="inlineStr">
        <is>
          <t>GPS speed-error random walk</t>
        </is>
      </c>
      <c r="B237" s="3" t="inlineStr">
        <is>
          <t>q_gps</t>
        </is>
      </c>
      <c r="C237" s="3" t="inlineStr">
        <is>
          <t>sensors.gps.bias_walk</t>
        </is>
      </c>
      <c r="D237" s="3" t="inlineStr">
        <is>
          <t>Strength of the slowly wandering speed error (random-walk intensity).</t>
        </is>
      </c>
      <c r="E237" s="4" t="inlineStr">
        <is>
          <t>0.01</t>
        </is>
      </c>
      <c r="F237" s="3" t="inlineStr">
        <is>
          <t>m/s/sqrt(s)</t>
        </is>
      </c>
      <c r="G237" s="5" t="inlineStr">
        <is>
          <t>PLACEHOLDER — small drift</t>
        </is>
      </c>
      <c r="H237" s="3" t="inlineStr">
        <is>
          <t>Long static log (Allan deviation)</t>
        </is>
      </c>
      <c r="I237" s="3" t="inlineStr">
        <is>
          <t>Static log, Allan deviation at ~10 s</t>
        </is>
      </c>
      <c r="J237" s="3" t="inlineStr">
        <is>
          <t>The error the EKF has to estimate.</t>
        </is>
      </c>
    </row>
    <row r="238">
      <c r="A238" s="3" t="inlineStr">
        <is>
          <t>GPS CAN resolution</t>
        </is>
      </c>
      <c r="B238" s="3" t="inlineStr">
        <is>
          <t>LSB_gps</t>
        </is>
      </c>
      <c r="C238" s="3" t="inlineStr">
        <is>
          <t>sensors.gps.can_scale</t>
        </is>
      </c>
      <c r="D238" s="3" t="inlineStr">
        <is>
          <t>km/h per LSB of the DAQ GPS speed frame.</t>
        </is>
      </c>
      <c r="E238" s="6" t="inlineStr">
        <is>
          <t>0.0002778</t>
        </is>
      </c>
      <c r="F238" s="3" t="inlineStr">
        <is>
          <t>km/h</t>
        </is>
      </c>
      <c r="G238" s="7" t="inlineStr">
        <is>
          <t>CURRENT CAR (daqSensors.c)</t>
        </is>
      </c>
      <c r="H238" s="3" t="inlineStr">
        <is>
          <t>-</t>
        </is>
      </c>
      <c r="I238" s="3" t="inlineStr">
        <is>
          <t>dev/daqSensors.c in the firmware</t>
        </is>
      </c>
      <c r="J238" s="3" t="inlineStr">
        <is>
          <t>Quantisation of the reported speed.</t>
        </is>
      </c>
    </row>
    <row r="239">
      <c r="A239" s="3" t="inlineStr">
        <is>
          <t>GPS antenna x (from CG)</t>
        </is>
      </c>
      <c r="B239" s="3" t="inlineStr">
        <is>
          <t>x_gps</t>
        </is>
      </c>
      <c r="C239" s="3" t="inlineStr">
        <is>
          <t>sensors.gps.antenna_x</t>
        </is>
      </c>
      <c r="D239" s="3" t="inlineStr">
        <is>
          <t>Longitudinal position of the antenna relative to the CG (positive forward).</t>
        </is>
      </c>
      <c r="E239" s="4" t="inlineStr">
        <is>
          <t>0</t>
        </is>
      </c>
      <c r="F239" s="3" t="inlineStr">
        <is>
          <t>m</t>
        </is>
      </c>
      <c r="G239" s="5" t="inlineStr">
        <is>
          <t>PLACEHOLDER — CAD</t>
        </is>
      </c>
      <c r="H239" s="3" t="inlineStr">
        <is>
          <t>Antenna position</t>
        </is>
      </c>
      <c r="I239" s="3" t="inlineStr">
        <is>
          <t>CAD / tape</t>
        </is>
      </c>
      <c r="J239" s="3" t="inlineStr">
        <is>
          <t>In a corner the antenna's speed differs from the CG's by yaw rate x offset.</t>
        </is>
      </c>
    </row>
    <row r="240">
      <c r="A240" s="3" t="inlineStr">
        <is>
          <t>GPS antenna y (from CG)</t>
        </is>
      </c>
      <c r="B240" s="3" t="inlineStr">
        <is>
          <t>y_gps</t>
        </is>
      </c>
      <c r="C240" s="3" t="inlineStr">
        <is>
          <t>sensors.gps.antenna_y</t>
        </is>
      </c>
      <c r="D240" s="3" t="inlineStr">
        <is>
          <t>Lateral position of the antenna relative to the CG (positive left).</t>
        </is>
      </c>
      <c r="E240" s="4" t="inlineStr">
        <is>
          <t>0</t>
        </is>
      </c>
      <c r="F240" s="3" t="inlineStr">
        <is>
          <t>m</t>
        </is>
      </c>
      <c r="G240" s="5" t="inlineStr">
        <is>
          <t>PLACEHOLDER — CAD</t>
        </is>
      </c>
      <c r="H240" s="3" t="inlineStr">
        <is>
          <t>Antenna position</t>
        </is>
      </c>
      <c r="I240" s="3" t="inlineStr">
        <is>
          <t>CAD</t>
        </is>
      </c>
      <c r="J240" s="3" t="inlineStr">
        <is>
          <t>Same as antenna_x.</t>
        </is>
      </c>
    </row>
    <row r="241">
      <c r="A241" s="2" t="inlineStr">
        <is>
          <t>SOFTWARE-IN-THE-LOOP (sil/)</t>
        </is>
      </c>
    </row>
    <row r="242">
      <c r="A242" s="3" t="inlineStr">
        <is>
          <t>SIL firmware boot time</t>
        </is>
      </c>
      <c r="B242" s="3" t="inlineStr">
        <is>
          <t>-</t>
        </is>
      </c>
      <c r="C242" s="3" t="inlineStr">
        <is>
          <t>sil.boot_s</t>
        </is>
      </c>
      <c r="D242" s="3" t="inlineStr">
        <is>
          <t>How long the real firmware is left to boot — bench check (55 ms) plus the ADC settle loop (1 s) — before a maneuver's t = 0, measured on the firmware's own clock.</t>
        </is>
      </c>
      <c r="E242" s="4" t="inlineStr">
        <is>
          <t>1.5</t>
        </is>
      </c>
      <c r="F242" s="3" t="inlineStr">
        <is>
          <t>s</t>
        </is>
      </c>
      <c r="G242" s="5" t="inlineStr">
        <is>
          <t>PLACEHOLDER — from main.c / initializations.c</t>
        </is>
      </c>
      <c r="H242" s="3" t="inlineStr">
        <is>
          <t>The firmware's true settle time</t>
        </is>
      </c>
      <c r="I242" s="3" t="inlineStr">
        <is>
          <t>Read main.c / initializations.c, or instrument the boot</t>
        </is>
      </c>
      <c r="J242" s="3" t="inlineStr">
        <is>
          <t>Too short and the first samples come from an unsettled ADC.</t>
        </is>
      </c>
    </row>
    <row r="243">
      <c r="A243" s="2" t="inlineStr">
        <is>
          <t>NUMERICAL GUARDS</t>
        </is>
      </c>
    </row>
    <row r="244">
      <c r="A244" s="3" t="inlineStr">
        <is>
          <t>Low-speed guard</t>
        </is>
      </c>
      <c r="B244" s="3" t="inlineStr">
        <is>
          <t>v_eps</t>
        </is>
      </c>
      <c r="C244" s="3" t="inlineStr">
        <is>
          <t>numerical.v_eps</t>
        </is>
      </c>
      <c r="D244" s="3" t="inlineStr">
        <is>
          <t>Minimum speed used in slip-angle / slip-ratio denominators.</t>
        </is>
      </c>
      <c r="E244" s="4" t="inlineStr">
        <is>
          <t>0.5</t>
        </is>
      </c>
      <c r="F244" s="3" t="inlineStr">
        <is>
          <t>m/s</t>
        </is>
      </c>
      <c r="G244" s="3" t="inlineStr">
        <is>
          <t>NUMERICAL GUARD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Below ~0.5 m/s wheel-slip math is untrustworthy — launches are out of scope until reworked.</t>
        </is>
      </c>
    </row>
    <row r="245">
      <c r="A245" s="3" t="inlineStr">
        <is>
          <t>Wheel-speed guard</t>
        </is>
      </c>
      <c r="B245" s="3" t="inlineStr">
        <is>
          <t>w_eps</t>
        </is>
      </c>
      <c r="C245" s="3" t="inlineStr">
        <is>
          <t>numerical.w_eps</t>
        </is>
      </c>
      <c r="D245" s="3" t="inlineStr">
        <is>
          <t>Floor on |wheel speed| when converting a per-motor POWER limit into a torque limit (T_lim = P_peak / max(|omega|, w_eps)).</t>
        </is>
      </c>
      <c r="E245" s="4" t="inlineStr">
        <is>
          <t>5</t>
        </is>
      </c>
      <c r="F245" s="3" t="inlineStr">
        <is>
          <t>rad/s</t>
        </is>
      </c>
      <c r="G245" s="3" t="inlineStr">
        <is>
          <t>NUMERICAL GUARD</t>
        </is>
      </c>
      <c r="H245" s="3" t="inlineStr">
        <is>
          <t>Nothing (numerical)</t>
        </is>
      </c>
      <c r="I245" s="3" t="inlineStr">
        <is>
          <t>-</t>
        </is>
      </c>
      <c r="J245" s="3" t="inlineStr">
        <is>
          <t>P = T*omega, so at standstill the power limit permits infinite torque. Flooring the divisor caps it at P_peak/w_eps instead, which the per-wheel peak-torque limit then covers. 5 rad/s is ~1.1 m/s of ground speed, below the regen cutoff, so it never binds while the car is actually driving.</t>
        </is>
      </c>
    </row>
    <row r="246">
      <c r="A246" s="3" t="inlineStr">
        <is>
          <t>Friction sign smoothing speed</t>
        </is>
      </c>
      <c r="B246" s="3" t="inlineStr">
        <is>
          <t>v_sm</t>
        </is>
      </c>
      <c r="C246" s="3" t="inlineStr">
        <is>
          <t>numerical.v_smooth</t>
        </is>
      </c>
      <c r="D246" s="3" t="inlineStr">
        <is>
          <t>Velocity scale of the tanh() that replaces sign() in Coulomb friction (rack friction, rolling resistance).</t>
        </is>
      </c>
      <c r="E246" s="4" t="inlineStr">
        <is>
          <t>0.05</t>
        </is>
      </c>
      <c r="F246" s="3" t="inlineStr">
        <is>
          <t>m/s</t>
        </is>
      </c>
      <c r="G246" s="3" t="inlineStr">
        <is>
          <t>NUMERICAL GUARD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A hard sign() flips every sub-step at rest and stalls RK4.</t>
        </is>
      </c>
    </row>
    <row r="247">
      <c r="A247" s="3" t="inlineStr">
        <is>
          <t>Brake sign smoothing speed</t>
        </is>
      </c>
      <c r="B247" s="3" t="inlineStr">
        <is>
          <t>w_sm</t>
        </is>
      </c>
      <c r="C247" s="3" t="inlineStr">
        <is>
          <t>numerical.w_smooth</t>
        </is>
      </c>
      <c r="D247" s="3" t="inlineStr">
        <is>
          <t>Wheel-speed scale of the tanh() that gives brake and bearing torque their sign.</t>
        </is>
      </c>
      <c r="E247" s="4" t="inlineStr">
        <is>
          <t>0.5</t>
        </is>
      </c>
      <c r="F247" s="3" t="inlineStr">
        <is>
          <t>rad/s</t>
        </is>
      </c>
      <c r="G247" s="3" t="inlineStr">
        <is>
          <t>NUMERICAL GUARD</t>
        </is>
      </c>
      <c r="H247" s="3" t="inlineStr">
        <is>
          <t>-</t>
        </is>
      </c>
      <c r="I247" s="3" t="inlineStr">
        <is>
          <t>-</t>
        </is>
      </c>
      <c r="J247" s="3" t="inlineStr">
        <is>
          <t>Lets a braked wheel come to rest instead of chattering about zero.</t>
        </is>
      </c>
    </row>
    <row r="249">
      <c r="A249" s="8" t="inlineStr">
        <is>
          <t>Legend:</t>
        </is>
      </c>
      <c r="B249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24">
    <mergeCell ref="A203:J203"/>
    <mergeCell ref="A47:J47"/>
    <mergeCell ref="A32:J32"/>
    <mergeCell ref="A219:J219"/>
    <mergeCell ref="A224:J224"/>
    <mergeCell ref="A62:J62"/>
    <mergeCell ref="A106:J106"/>
    <mergeCell ref="A81:J81"/>
    <mergeCell ref="A134:J134"/>
    <mergeCell ref="B249:J249"/>
    <mergeCell ref="A115:J115"/>
    <mergeCell ref="A92:J92"/>
    <mergeCell ref="A130:J130"/>
    <mergeCell ref="A11:J11"/>
    <mergeCell ref="A241:J241"/>
    <mergeCell ref="A212:J212"/>
    <mergeCell ref="A243:J243"/>
    <mergeCell ref="A217:J217"/>
    <mergeCell ref="A233:J233"/>
    <mergeCell ref="A18:J18"/>
    <mergeCell ref="A2:J2"/>
    <mergeCell ref="A163:J163"/>
    <mergeCell ref="A210:J210"/>
    <mergeCell ref="A179:J17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ω_FL, ω_FR, ω_RL, ω_RR</t>
        </is>
      </c>
      <c r="C4" s="3" t="inlineStr">
        <is>
          <t>states 7–10</t>
        </is>
      </c>
      <c r="D4" s="3" t="inlineStr">
        <is>
          <t>Wheel rotational speeds, one per corner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Sets the s-diff wheel-speed target (r·track/r_wheel). Its sensor is a non-negotiable hardware item.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sil/vcu_sil.py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Torque split</t>
        </is>
      </c>
      <c r="B14" s="3" t="inlineStr">
        <is>
          <t>ΔT</t>
        </is>
      </c>
      <c r="C14" s="3" t="inlineStr">
        <is>
          <t>sdiff.c (VCU firmware)</t>
        </is>
      </c>
      <c r="D14" s="3" t="inlineStr">
        <is>
          <t>The left/right torque difference the firmware commands: T_RR − T_RL.</t>
        </is>
      </c>
      <c r="E14" s="3" t="inlineStr">
        <is>
          <t>Firmware output every VCU cycle</t>
        </is>
      </c>
      <c r="F14" s="3" t="inlineStr">
        <is>
          <t>Commanded over CAN to the inverters as a current per motor</t>
        </is>
      </c>
      <c r="G14" s="3" t="inlineStr">
        <is>
          <t>The single actuator this whole project exists to command.</t>
        </is>
      </c>
    </row>
    <row r="15">
      <c r="A15" s="3" t="inlineStr">
        <is>
          <t>Wheel torques</t>
        </is>
      </c>
      <c r="B15" s="3" t="inlineStr">
        <is>
          <t>T_FL, T_FR, T_RL, T_RR</t>
        </is>
      </c>
      <c r="C15" s="3" t="inlineStr">
        <is>
          <t>sil/vcu_sil.py</t>
        </is>
      </c>
      <c r="D15" s="3" t="inlineStr">
        <is>
          <t>Per-wheel torque the plant receives: the firmware's rear current commands × Kt × gear, mirrored onto the fronts when four wheels are driven.</t>
        </is>
      </c>
      <c r="E15" s="3" t="inlineStr">
        <is>
          <t>mA command from the firmware, converted each VCU cycle</t>
        </is>
      </c>
      <c r="F15" s="3" t="inlineStr">
        <is>
          <t>Inverters report actual current over CAN</t>
        </is>
      </c>
      <c r="G15" s="3" t="inlineStr">
        <is>
          <t>What actually gets applied. Kt is a placeholder, so absolute torque scales with it.</t>
        </is>
      </c>
    </row>
    <row r="16">
      <c r="A16" s="3" t="inlineStr">
        <is>
          <t>Total drive power</t>
        </is>
      </c>
      <c r="B16" s="3" t="inlineStr">
        <is>
          <t>P</t>
        </is>
      </c>
      <c r="C16" s="3" t="inlineStr">
        <is>
          <t>logged</t>
        </is>
      </c>
      <c r="D16" s="3" t="inlineStr">
        <is>
          <t>Mechanical power at the wheels: Σ T_i·ω_i over the four wheels.</t>
        </is>
      </c>
      <c r="E16" s="3" t="inlineStr">
        <is>
          <t>Computed from torques × speeds</t>
        </is>
      </c>
      <c r="F16" s="3" t="inlineStr">
        <is>
          <t>Rules energy meter measures the electrical version at the accumulator</t>
        </is>
      </c>
      <c r="G16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</t>
        </is>
      </c>
      <c r="D2" s="3" t="inlineStr">
        <is>
          <t>Straight running, then a fast (~0.1 s) ramp to a fixed steer angle, held to the end.</t>
        </is>
      </c>
      <c r="E2" s="3" t="inlineStr">
        <is>
          <t>NO overshoot/oscillation in the yaw trace (oscillation = gains too hot). Sideslip β &lt; ~1°.</t>
        </is>
      </c>
      <c r="F2" s="3" t="inlineStr">
        <is>
          <t>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β bounded and symmetric; amplitude NOT growing cycle to cycle (growth = impending spin); Δω flips sign cleanly each reversal.</t>
        </is>
      </c>
      <c r="F4" s="3" t="inlineStr">
        <is>
          <t>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survive.</t>
        </is>
      </c>
      <c r="F6" s="3" t="inlineStr">
        <is>
          <t>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2026-10-22T23:44:21Z</dcterms:created>
  <dcterms:modified xsi:type="dcterms:W3CDTF">2026-10-22T23:44:21Z</dcterms:modified>
</cp:coreProperties>
</file>